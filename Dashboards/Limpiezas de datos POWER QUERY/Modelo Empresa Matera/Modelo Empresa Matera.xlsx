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sas Yanina Ariadna\PS\PL-300\Módulo 6 - Limpieza y transformación de datos\"/>
    </mc:Choice>
  </mc:AlternateContent>
  <xr:revisionPtr revIDLastSave="0" documentId="13_ncr:1_{9CD8B827-2DFE-4FDE-97EB-FEBDAA96EF9D}" xr6:coauthVersionLast="47" xr6:coauthVersionMax="47" xr10:uidLastSave="{00000000-0000-0000-0000-000000000000}"/>
  <bookViews>
    <workbookView xWindow="-108" yWindow="-108" windowWidth="23256" windowHeight="12456" xr2:uid="{DAED840B-16DE-4E43-A64B-7408C3E882A5}"/>
  </bookViews>
  <sheets>
    <sheet name="PA vs estimado Mes y Acum" sheetId="1" r:id="rId1"/>
  </sheets>
  <definedNames>
    <definedName name="_xlnm.Print_Area" localSheetId="0">'PA vs estimado Mes y Acum'!$A$16:$K$115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Pablo Cerain</author>
  </authors>
  <commentList>
    <comment ref="G19" authorId="0" shapeId="0" xr:uid="{2067CB0C-E121-4F05-8166-041CB5D6E968}">
      <text>
        <r>
          <rPr>
            <b/>
            <sz val="9"/>
            <color indexed="81"/>
            <rFont val="Tahoma"/>
            <family val="2"/>
          </rPr>
          <t>Juan Pablo Cerain:</t>
        </r>
        <r>
          <rPr>
            <sz val="9"/>
            <color indexed="81"/>
            <rFont val="Tahoma"/>
            <family val="2"/>
          </rPr>
          <t xml:space="preserve">
depositos 4, 5, 12 y 13</t>
        </r>
      </text>
    </comment>
    <comment ref="H19" authorId="0" shapeId="0" xr:uid="{D2F843D2-68F7-4BAC-ACB7-4BC6CE2F5E4B}">
      <text>
        <r>
          <rPr>
            <b/>
            <sz val="9"/>
            <color indexed="81"/>
            <rFont val="Tahoma"/>
            <family val="2"/>
          </rPr>
          <t>Juan Pablo Cerain:</t>
        </r>
        <r>
          <rPr>
            <sz val="9"/>
            <color indexed="81"/>
            <rFont val="Tahoma"/>
            <family val="2"/>
          </rPr>
          <t xml:space="preserve">
descontando tambien el promedio de venta de mercado exterior</t>
        </r>
      </text>
    </comment>
    <comment ref="G90" authorId="0" shapeId="0" xr:uid="{0F309D56-08A1-4195-9E64-584637559692}">
      <text>
        <r>
          <rPr>
            <b/>
            <sz val="9"/>
            <color indexed="81"/>
            <rFont val="Tahoma"/>
            <family val="2"/>
          </rPr>
          <t>Juan Pablo Cerain:</t>
        </r>
        <r>
          <rPr>
            <sz val="9"/>
            <color indexed="81"/>
            <rFont val="Tahoma"/>
            <family val="2"/>
          </rPr>
          <t xml:space="preserve">
depositos 4, 5, 12 y 13</t>
        </r>
      </text>
    </comment>
    <comment ref="H90" authorId="0" shapeId="0" xr:uid="{5B8BB2BE-1578-465E-9761-CDE7314AE21E}">
      <text>
        <r>
          <rPr>
            <b/>
            <sz val="9"/>
            <color indexed="81"/>
            <rFont val="Tahoma"/>
            <family val="2"/>
          </rPr>
          <t>Juan Pablo Cerain:</t>
        </r>
        <r>
          <rPr>
            <sz val="9"/>
            <color indexed="81"/>
            <rFont val="Tahoma"/>
            <family val="2"/>
          </rPr>
          <t xml:space="preserve">
descontando tambien el promedio de venta de mercado exterior</t>
        </r>
      </text>
    </comment>
    <comment ref="G103" authorId="0" shapeId="0" xr:uid="{769358D6-1905-4031-94A9-4B806A633D21}">
      <text>
        <r>
          <rPr>
            <b/>
            <sz val="9"/>
            <color indexed="81"/>
            <rFont val="Tahoma"/>
            <family val="2"/>
          </rPr>
          <t>Juan Pablo Cerain:</t>
        </r>
        <r>
          <rPr>
            <sz val="9"/>
            <color indexed="81"/>
            <rFont val="Tahoma"/>
            <family val="2"/>
          </rPr>
          <t xml:space="preserve">
depositos 4, 5, 12 y 13</t>
        </r>
      </text>
    </comment>
    <comment ref="H103" authorId="0" shapeId="0" xr:uid="{64D12D20-05E1-4787-916B-760787E1D520}">
      <text>
        <r>
          <rPr>
            <b/>
            <sz val="9"/>
            <color indexed="81"/>
            <rFont val="Tahoma"/>
            <family val="2"/>
          </rPr>
          <t>Juan Pablo Cerain:</t>
        </r>
        <r>
          <rPr>
            <sz val="9"/>
            <color indexed="81"/>
            <rFont val="Tahoma"/>
            <family val="2"/>
          </rPr>
          <t xml:space="preserve">
descontando tambien el promedio de venta de mercado exterior</t>
        </r>
      </text>
    </comment>
  </commentList>
</comments>
</file>

<file path=xl/sharedStrings.xml><?xml version="1.0" encoding="utf-8"?>
<sst xmlns="http://schemas.openxmlformats.org/spreadsheetml/2006/main" count="366" uniqueCount="256">
  <si>
    <t>Columna 1</t>
  </si>
  <si>
    <t>Columna 2</t>
  </si>
  <si>
    <t>Columna 3</t>
  </si>
  <si>
    <t>Columna 4</t>
  </si>
  <si>
    <t>Columna 5</t>
  </si>
  <si>
    <t>Columna 6</t>
  </si>
  <si>
    <t>Columna 7</t>
  </si>
  <si>
    <t>Columna 8</t>
  </si>
  <si>
    <t>Columna 9</t>
  </si>
  <si>
    <t>Columna 10</t>
  </si>
  <si>
    <t>Columna 11</t>
  </si>
  <si>
    <t>Columna 12</t>
  </si>
  <si>
    <t>Columna 13</t>
  </si>
  <si>
    <t>Columna 14</t>
  </si>
  <si>
    <t>Columna 15</t>
  </si>
  <si>
    <t>Columna 16</t>
  </si>
  <si>
    <t>Columna 17</t>
  </si>
  <si>
    <t>Columna 18</t>
  </si>
  <si>
    <t>Columna 19</t>
  </si>
  <si>
    <t>Columna 20</t>
  </si>
  <si>
    <t>Columna 21</t>
  </si>
  <si>
    <t>Columna 22</t>
  </si>
  <si>
    <t>Columna 23</t>
  </si>
  <si>
    <t>Columna 24</t>
  </si>
  <si>
    <t>Columna 25</t>
  </si>
  <si>
    <t>Columna 26</t>
  </si>
  <si>
    <t>Columna 27</t>
  </si>
  <si>
    <t>Columna 28</t>
  </si>
  <si>
    <t>Columna 29</t>
  </si>
  <si>
    <t>Columna 30</t>
  </si>
  <si>
    <t>Columna 31</t>
  </si>
  <si>
    <t>Columna 32</t>
  </si>
  <si>
    <t>Columna 33</t>
  </si>
  <si>
    <t>Columna 34</t>
  </si>
  <si>
    <t>Columna 35</t>
  </si>
  <si>
    <t>Columna 36</t>
  </si>
  <si>
    <t>Resumen por Línea - Cantidad real acumulada ejercicio fiscal vs años anteriores acumulados</t>
  </si>
  <si>
    <t xml:space="preserve">INFORME: </t>
  </si>
  <si>
    <t>ESTIMADOS/AÑO ANT VS REALES EN Q Unid.</t>
  </si>
  <si>
    <t>Resumen por Línea - Cantidad real vs estimado</t>
  </si>
  <si>
    <t>LINEA:</t>
  </si>
  <si>
    <t>PA Y GA</t>
  </si>
  <si>
    <t>ZONA:</t>
  </si>
  <si>
    <t>MERCADO LOCAL</t>
  </si>
  <si>
    <t>Estimado</t>
  </si>
  <si>
    <t>Real</t>
  </si>
  <si>
    <t>% Var</t>
  </si>
  <si>
    <t>Año anterior</t>
  </si>
  <si>
    <t>% vs año ant</t>
  </si>
  <si>
    <t>Dos años ant.</t>
  </si>
  <si>
    <t>% vs 2 años ant</t>
  </si>
  <si>
    <t>EJERCICIO:</t>
  </si>
  <si>
    <t>2025/2026</t>
  </si>
  <si>
    <t>PA Linea</t>
  </si>
  <si>
    <t>&gt;&gt;&gt; DEFINIR FECHA MANUALMENTE</t>
  </si>
  <si>
    <t>Total PA</t>
  </si>
  <si>
    <t>GA</t>
  </si>
  <si>
    <t>Total</t>
  </si>
  <si>
    <t>Resumen por Línea - Ejercicio anterior vs estimado (Año completo)</t>
  </si>
  <si>
    <t>Resumen por Línea - Comparación cantidad real acumulada 12 meses vs años anteriores</t>
  </si>
  <si>
    <t xml:space="preserve">Unidades Estimadas Año </t>
  </si>
  <si>
    <t xml:space="preserve">Acumulado </t>
  </si>
  <si>
    <t>% Variación</t>
  </si>
  <si>
    <t>CODIGO</t>
  </si>
  <si>
    <t>PRODUCTO</t>
  </si>
  <si>
    <t>Proyectado</t>
  </si>
  <si>
    <t>Unidades</t>
  </si>
  <si>
    <t>Faltantes</t>
  </si>
  <si>
    <t>Stock Final</t>
  </si>
  <si>
    <t>Meses Stock p/Oferta</t>
  </si>
  <si>
    <t>Stock inicial</t>
  </si>
  <si>
    <t>Costo de Envio</t>
  </si>
  <si>
    <t>Facturación</t>
  </si>
  <si>
    <t>53.44</t>
  </si>
  <si>
    <t>61.5</t>
  </si>
  <si>
    <t>85.1</t>
  </si>
  <si>
    <t>157.59</t>
  </si>
  <si>
    <t>52.53</t>
  </si>
  <si>
    <t>105.06</t>
  </si>
  <si>
    <t>75.78</t>
  </si>
  <si>
    <t>40.55</t>
  </si>
  <si>
    <t>37.89</t>
  </si>
  <si>
    <t>89.97</t>
  </si>
  <si>
    <t>80.16</t>
  </si>
  <si>
    <t>59.98</t>
  </si>
  <si>
    <t>26.72</t>
  </si>
  <si>
    <t>29.99</t>
  </si>
  <si>
    <t>30.75</t>
  </si>
  <si>
    <t>Queso de Cabra de las Sierras Premium</t>
  </si>
  <si>
    <t>Pan de Campo con Semillas</t>
  </si>
  <si>
    <t>Queso Azul Patagónico Premium</t>
  </si>
  <si>
    <t>Pickles Caseros del Noroeste</t>
  </si>
  <si>
    <t>Pickles de Milanesa de Cabrito</t>
  </si>
  <si>
    <t>Miel de Abejas del Gran Chaco Premium</t>
  </si>
  <si>
    <t>Empanadas de Carne Cordobesas Premium</t>
  </si>
  <si>
    <t>Galletas de Maíz de las Pampas Premium</t>
  </si>
  <si>
    <t>Pickles Caseros del Noroeste Premium</t>
  </si>
  <si>
    <t>Bombilla de Acero Inoxidable</t>
  </si>
  <si>
    <t>Pickles de Milanesa Criolla</t>
  </si>
  <si>
    <t>Mermelada de Frutos del Bosque</t>
  </si>
  <si>
    <t>Yerba con Té Verde de Salta Premium</t>
  </si>
  <si>
    <t>Bombilla de Bronce Tallada Premium</t>
  </si>
  <si>
    <t>Queso Parmesano de las Sierras</t>
  </si>
  <si>
    <t>Alfajor de Chocolate y Mango</t>
  </si>
  <si>
    <t>Pan de Campo con Semillas Premium</t>
  </si>
  <si>
    <t>Miel de Abejas del Gran Chaco</t>
  </si>
  <si>
    <t>Mermelada de Frutos del Bosque Premium</t>
  </si>
  <si>
    <t>Alfajor de Maicena Clásico</t>
  </si>
  <si>
    <t>Alfajor de Chocolate y Naranja</t>
  </si>
  <si>
    <t>Mate de Hierbas del Río Paraná</t>
  </si>
  <si>
    <t>Yerba con Té Verde de Salta</t>
  </si>
  <si>
    <t>Queso Azul Patagónico</t>
  </si>
  <si>
    <t>Bombilla de Aluminio Tallada Premium</t>
  </si>
  <si>
    <t>Bombilla de Aluminio Tallada</t>
  </si>
  <si>
    <t>Yerba con Toques Cítricos del Norte Premium</t>
  </si>
  <si>
    <t>Dulce de Batata con Almendras Premium</t>
  </si>
  <si>
    <t>Infusión de Yerba y Naranja</t>
  </si>
  <si>
    <t>Chocolates Artesanales del Litoral Premium</t>
  </si>
  <si>
    <t>Infusión de Yerba y Manzanilla</t>
  </si>
  <si>
    <t>Infusión de Yerba y Jengibre Premium</t>
  </si>
  <si>
    <t>Mate de Hierbas del Río Paraná Premium</t>
  </si>
  <si>
    <t>Chocotorta con Dulce de Leche Premium</t>
  </si>
  <si>
    <t>Yerba con Té Rojo del Litoral</t>
  </si>
  <si>
    <t>Bombilla de Acero Inoxidable Premium</t>
  </si>
  <si>
    <t>Empanadas de Carne Salteñas Premium</t>
  </si>
  <si>
    <t>Mate Intenso de la Pampa</t>
  </si>
  <si>
    <t>Dulce de Membrillo Porteño</t>
  </si>
  <si>
    <t>Bombilla Tallada de Madera</t>
  </si>
  <si>
    <t>Empanadas de Carne Clasicas</t>
  </si>
  <si>
    <t>Mate Premium del Gran Chaco</t>
  </si>
  <si>
    <t>Yerba Orgánica de las Sierras</t>
  </si>
  <si>
    <t>Mate Intenso de la Pampa con Menta</t>
  </si>
  <si>
    <t>Yerba con Té Negro del Litoral</t>
  </si>
  <si>
    <t>Pastel de Papa de la Patagonia Premium</t>
  </si>
  <si>
    <t>Pickles Caseros del Sur</t>
  </si>
  <si>
    <t>Miel de Abejas de la Mesopotamia</t>
  </si>
  <si>
    <t>Galletitas Criollas de Avena</t>
  </si>
  <si>
    <t>Infusión de Hierbas del Noroeste</t>
  </si>
  <si>
    <t>Yerba con Sabor a Menta de Salta</t>
  </si>
  <si>
    <t>Yerba Pampa Tradicional</t>
  </si>
  <si>
    <t>Bombilla Andina de Acero</t>
  </si>
  <si>
    <t>Mate Clásico Rioplatense</t>
  </si>
  <si>
    <t>Galletas Criollas de Coco</t>
  </si>
  <si>
    <t>Dulce de Leche Criollo</t>
  </si>
  <si>
    <t>Alfajor Patagónico</t>
  </si>
  <si>
    <t>Dulce de Batata y Chocolate</t>
  </si>
  <si>
    <t>Dulce de Membrillo con Nuez y Chocolate</t>
  </si>
  <si>
    <t>Alfajor de Maicena con Fresa</t>
  </si>
  <si>
    <t>Infusión de Yerba Mate y Naranja</t>
  </si>
  <si>
    <t>Queso Provolone de las Pampas</t>
  </si>
  <si>
    <t>Bizcochos de Campo Santiagueños</t>
  </si>
  <si>
    <t>Infusión de Yerba y Manzanilla Premium</t>
  </si>
  <si>
    <t>Dulce de Batata con Nueces</t>
  </si>
  <si>
    <t>Mate Intenso de la Pampa Premium</t>
  </si>
  <si>
    <t>Empanadas de Carne Cordobesas</t>
  </si>
  <si>
    <t>Dulce de Leche con Almendras</t>
  </si>
  <si>
    <t>Mates Tallados a Mano</t>
  </si>
  <si>
    <t>Bombilla de Bronce Tallada</t>
  </si>
  <si>
    <t>Empanadas de Carne Salteñas</t>
  </si>
  <si>
    <t>Chocolates Artesanales del Litoral</t>
  </si>
  <si>
    <t>Galletas Criollas de Anís</t>
  </si>
  <si>
    <t>Infusión de Yerba y Naranja Premium</t>
  </si>
  <si>
    <t>Galletas de Maíz Salteñas</t>
  </si>
  <si>
    <t>Dulce de Membrillo con Nuez</t>
  </si>
  <si>
    <t>Alfajor de Maicena con Frutas</t>
  </si>
  <si>
    <t>Galletas Criollas de Anís Premium</t>
  </si>
  <si>
    <t>Chocotorta con Dulce de Leche</t>
  </si>
  <si>
    <t>Pan Casero de Campo Premium</t>
  </si>
  <si>
    <t>Chocolates Artesanales de Jujuy</t>
  </si>
  <si>
    <t>Subtotal</t>
  </si>
  <si>
    <r>
      <t>GRANJA - MERCADO LOCAL</t>
    </r>
    <r>
      <rPr>
        <b/>
        <sz val="11"/>
        <color rgb="FFFF0000"/>
        <rFont val="Aptos Narrow"/>
        <family val="2"/>
        <scheme val="minor"/>
      </rPr>
      <t xml:space="preserve"> (Ordenado por mayor variación vs estimado)</t>
    </r>
  </si>
  <si>
    <t>5337Minutas Saladas</t>
  </si>
  <si>
    <t>5378Minutas Saladas</t>
  </si>
  <si>
    <t>5331Minutas Saladas</t>
  </si>
  <si>
    <t>8055Articulos Materos</t>
  </si>
  <si>
    <t>5308Dulces Caseros</t>
  </si>
  <si>
    <t>8054Quesos</t>
  </si>
  <si>
    <t>5338Alfajores</t>
  </si>
  <si>
    <t>5379Dulces Caseros</t>
  </si>
  <si>
    <t>8545Alfajores</t>
  </si>
  <si>
    <t>5344Infusiones</t>
  </si>
  <si>
    <t>5348Articulos Materos</t>
  </si>
  <si>
    <t>5311Infusiones</t>
  </si>
  <si>
    <t>5354Chocolates</t>
  </si>
  <si>
    <t>5339Infusiones</t>
  </si>
  <si>
    <t>8033Infusiones</t>
  </si>
  <si>
    <t>8541Articulos Materos</t>
  </si>
  <si>
    <t>8547Infusiones</t>
  </si>
  <si>
    <t>5333Minutas Saladas</t>
  </si>
  <si>
    <t>5358Infusiones</t>
  </si>
  <si>
    <t>5345Dulces Caseros</t>
  </si>
  <si>
    <t>5330Articulos Materos</t>
  </si>
  <si>
    <t>5355Infusiones</t>
  </si>
  <si>
    <t>5353Alfajores</t>
  </si>
  <si>
    <t>5335Infusiones</t>
  </si>
  <si>
    <t/>
  </si>
  <si>
    <t>CODIGOTipo</t>
  </si>
  <si>
    <t>5317Infusiones</t>
  </si>
  <si>
    <t>5315Minutas Saladas</t>
  </si>
  <si>
    <t>5314Dulces Caseros</t>
  </si>
  <si>
    <t>5377Articulos Materos</t>
  </si>
  <si>
    <t>5309Minutas Saladas</t>
  </si>
  <si>
    <t>8013Masitas</t>
  </si>
  <si>
    <t>8053Dulces Caseros</t>
  </si>
  <si>
    <t>8011Alfajores</t>
  </si>
  <si>
    <t>8010Masitas</t>
  </si>
  <si>
    <t>8009Chocolates</t>
  </si>
  <si>
    <t>8051Chocolates</t>
  </si>
  <si>
    <t>feb-yy/ene-yy</t>
  </si>
  <si>
    <t>5803Panes</t>
  </si>
  <si>
    <t>5844Quesos</t>
  </si>
  <si>
    <t>5895Minutas Saladas</t>
  </si>
  <si>
    <t>5851Infusiones</t>
  </si>
  <si>
    <t>5839Panes</t>
  </si>
  <si>
    <t>5853Alfajores</t>
  </si>
  <si>
    <t>5845Infusiones</t>
  </si>
  <si>
    <t>5318Quesos</t>
  </si>
  <si>
    <t>5889Articulos Materos</t>
  </si>
  <si>
    <t>5890Dulces Caseros</t>
  </si>
  <si>
    <t>5880Infusiones</t>
  </si>
  <si>
    <t>5338Infusiones</t>
  </si>
  <si>
    <t>5833Chocolates</t>
  </si>
  <si>
    <t>8038Infusiones</t>
  </si>
  <si>
    <t>5843Minutas Saladas</t>
  </si>
  <si>
    <t>5858Dulces Caseros</t>
  </si>
  <si>
    <t>5838Articulos Materos</t>
  </si>
  <si>
    <t>5389Articulos Materos</t>
  </si>
  <si>
    <t>5847Infusiones</t>
  </si>
  <si>
    <t>5888Minutas Saladas</t>
  </si>
  <si>
    <t>5811Masitas</t>
  </si>
  <si>
    <t>5881Infusiones</t>
  </si>
  <si>
    <t>5880Masitas</t>
  </si>
  <si>
    <t>5805Dulces Caseros</t>
  </si>
  <si>
    <t>5859Alfajores</t>
  </si>
  <si>
    <t>5858Quesos</t>
  </si>
  <si>
    <t>5834Articulos Materos</t>
  </si>
  <si>
    <t>5835Chocolates</t>
  </si>
  <si>
    <t>8018Infusiones</t>
  </si>
  <si>
    <t>8058Panes</t>
  </si>
  <si>
    <t xml:space="preserve">ESTIMADO DE VENTAS UNIDADES 8085/8082 vs Acumulado a </t>
  </si>
  <si>
    <t>8524Quesss</t>
  </si>
  <si>
    <t>8023Dulces Caseros</t>
  </si>
  <si>
    <t>8024Masitas</t>
  </si>
  <si>
    <t>8052Minutas Saladas</t>
  </si>
  <si>
    <t>8028Articulos Materos</t>
  </si>
  <si>
    <t>8523Dulces Caseros</t>
  </si>
  <si>
    <t>5320Infusiones</t>
  </si>
  <si>
    <t>5822Panes</t>
  </si>
  <si>
    <t>5812Infusiones</t>
  </si>
  <si>
    <t>5824Infusiones</t>
  </si>
  <si>
    <t>5332Articulos Materos</t>
  </si>
  <si>
    <t>5825Dulces Caseros</t>
  </si>
  <si>
    <t>5827Alfajores</t>
  </si>
  <si>
    <t>5820Dulces Caseros</t>
  </si>
  <si>
    <t>5312Dulces Caseros</t>
  </si>
  <si>
    <t>5802Masitas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</si>
</sst>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2"/>
      <color theme="0"/>
      <name val="Gill Sans MT"/>
      <family val="2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sz val="16"/>
      <color theme="1"/>
      <name val="Arial Black"/>
      <family val="2"/>
    </font>
    <font>
      <b/>
      <sz val="10"/>
      <name val="Arial Black"/>
      <family val="2"/>
    </font>
    <font>
      <b/>
      <sz val="11"/>
      <name val="Arial Black"/>
      <family val="2"/>
    </font>
    <font>
      <b/>
      <sz val="14"/>
      <name val="Arial Black"/>
      <family val="2"/>
    </font>
    <font>
      <sz val="12"/>
      <name val="Arial"/>
      <family val="2"/>
    </font>
    <font>
      <sz val="10"/>
      <name val="Arial Black"/>
      <family val="2"/>
    </font>
    <font>
      <b/>
      <sz val="10"/>
      <name val="Arial Unicode MS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sz val="13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165" fontId="1" fillId="0" borderId="0" applyFont="0" applyFill="0" applyBorder="0" applyAlignment="0" applyProtection="0"/>
  </cellStyleXfs>
  <cellXfs count="118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2" borderId="0" xfId="0" applyFont="1" applyFill="1" applyAlignment="1">
      <alignment horizontal="center"/>
    </xf>
    <xf numFmtId="0" fontId="5" fillId="0" borderId="0" xfId="0" applyFont="1"/>
    <xf numFmtId="0" fontId="0" fillId="0" borderId="4" xfId="0" applyBorder="1"/>
    <xf numFmtId="0" fontId="0" fillId="0" borderId="5" xfId="0" applyBorder="1"/>
    <xf numFmtId="0" fontId="3" fillId="0" borderId="0" xfId="0" applyFont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0" xfId="0" applyFont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0" xfId="0" applyAlignment="1">
      <alignment vertical="center"/>
    </xf>
    <xf numFmtId="3" fontId="0" fillId="0" borderId="9" xfId="0" applyNumberFormat="1" applyBorder="1" applyAlignment="1">
      <alignment horizontal="center" vertical="center"/>
    </xf>
    <xf numFmtId="9" fontId="7" fillId="0" borderId="9" xfId="2" applyFont="1" applyFill="1" applyBorder="1" applyAlignment="1">
      <alignment horizontal="center" vertical="center"/>
    </xf>
    <xf numFmtId="164" fontId="8" fillId="0" borderId="0" xfId="2" applyNumberFormat="1" applyFont="1" applyBorder="1" applyAlignment="1">
      <alignment horizontal="center"/>
    </xf>
    <xf numFmtId="164" fontId="0" fillId="0" borderId="0" xfId="2" applyNumberFormat="1" applyFont="1" applyBorder="1" applyAlignment="1">
      <alignment vertical="center"/>
    </xf>
    <xf numFmtId="164" fontId="0" fillId="0" borderId="0" xfId="2" applyNumberFormat="1" applyFont="1"/>
    <xf numFmtId="3" fontId="0" fillId="0" borderId="6" xfId="0" applyNumberFormat="1" applyBorder="1" applyAlignment="1">
      <alignment horizontal="center" vertical="center"/>
    </xf>
    <xf numFmtId="17" fontId="3" fillId="3" borderId="9" xfId="0" applyNumberFormat="1" applyFont="1" applyFill="1" applyBorder="1" applyAlignment="1">
      <alignment horizontal="center" vertical="center"/>
    </xf>
    <xf numFmtId="0" fontId="2" fillId="0" borderId="0" xfId="0" applyFont="1"/>
    <xf numFmtId="3" fontId="3" fillId="4" borderId="9" xfId="0" applyNumberFormat="1" applyFont="1" applyFill="1" applyBorder="1" applyAlignment="1">
      <alignment horizontal="center" vertical="center"/>
    </xf>
    <xf numFmtId="3" fontId="3" fillId="4" borderId="6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5" borderId="6" xfId="0" applyNumberFormat="1" applyFont="1" applyFill="1" applyBorder="1" applyAlignment="1">
      <alignment horizontal="center" vertical="center"/>
    </xf>
    <xf numFmtId="0" fontId="10" fillId="2" borderId="0" xfId="3" applyFont="1" applyFill="1" applyAlignment="1">
      <alignment horizontal="center" vertical="center" wrapText="1"/>
    </xf>
    <xf numFmtId="3" fontId="0" fillId="0" borderId="0" xfId="0" applyNumberFormat="1"/>
    <xf numFmtId="164" fontId="0" fillId="0" borderId="0" xfId="2" applyNumberFormat="1" applyFont="1" applyBorder="1"/>
    <xf numFmtId="0" fontId="11" fillId="0" borderId="0" xfId="0" applyFont="1" applyAlignment="1">
      <alignment vertical="center"/>
    </xf>
    <xf numFmtId="0" fontId="10" fillId="2" borderId="12" xfId="3" applyFont="1" applyFill="1" applyBorder="1" applyAlignment="1">
      <alignment horizontal="center" vertical="center" wrapText="1"/>
    </xf>
    <xf numFmtId="0" fontId="12" fillId="0" borderId="1" xfId="3" applyFont="1" applyBorder="1" applyAlignment="1">
      <alignment vertical="center"/>
    </xf>
    <xf numFmtId="166" fontId="13" fillId="0" borderId="14" xfId="4" applyNumberFormat="1" applyFont="1" applyFill="1" applyBorder="1" applyAlignment="1">
      <alignment vertical="center" wrapText="1"/>
    </xf>
    <xf numFmtId="0" fontId="14" fillId="0" borderId="15" xfId="3" applyFont="1" applyBorder="1" applyAlignment="1">
      <alignment vertical="center"/>
    </xf>
    <xf numFmtId="0" fontId="14" fillId="0" borderId="16" xfId="3" applyFont="1" applyBorder="1" applyAlignment="1">
      <alignment vertical="center"/>
    </xf>
    <xf numFmtId="0" fontId="14" fillId="0" borderId="17" xfId="3" applyFont="1" applyBorder="1" applyAlignment="1">
      <alignment vertical="center"/>
    </xf>
    <xf numFmtId="166" fontId="15" fillId="6" borderId="16" xfId="4" applyNumberFormat="1" applyFont="1" applyFill="1" applyBorder="1" applyAlignment="1">
      <alignment horizontal="center"/>
    </xf>
    <xf numFmtId="0" fontId="15" fillId="6" borderId="16" xfId="3" applyFont="1" applyFill="1" applyBorder="1" applyAlignment="1">
      <alignment horizontal="center"/>
    </xf>
    <xf numFmtId="0" fontId="15" fillId="6" borderId="17" xfId="3" applyFont="1" applyFill="1" applyBorder="1" applyAlignment="1">
      <alignment horizontal="center"/>
    </xf>
    <xf numFmtId="0" fontId="15" fillId="7" borderId="15" xfId="3" applyFont="1" applyFill="1" applyBorder="1" applyAlignment="1">
      <alignment horizontal="center"/>
    </xf>
    <xf numFmtId="0" fontId="0" fillId="2" borderId="0" xfId="0" applyFill="1"/>
    <xf numFmtId="166" fontId="17" fillId="8" borderId="19" xfId="4" applyNumberFormat="1" applyFont="1" applyFill="1" applyBorder="1" applyAlignment="1"/>
    <xf numFmtId="3" fontId="18" fillId="2" borderId="18" xfId="0" applyNumberFormat="1" applyFont="1" applyFill="1" applyBorder="1" applyAlignment="1">
      <alignment horizontal="center"/>
    </xf>
    <xf numFmtId="0" fontId="18" fillId="2" borderId="18" xfId="2" applyNumberFormat="1" applyFont="1" applyFill="1" applyBorder="1" applyAlignment="1">
      <alignment horizontal="center"/>
    </xf>
    <xf numFmtId="3" fontId="18" fillId="2" borderId="19" xfId="0" applyNumberFormat="1" applyFont="1" applyFill="1" applyBorder="1" applyAlignment="1">
      <alignment horizontal="center"/>
    </xf>
    <xf numFmtId="43" fontId="18" fillId="2" borderId="18" xfId="1" applyFont="1" applyFill="1" applyBorder="1" applyAlignment="1">
      <alignment horizontal="center"/>
    </xf>
    <xf numFmtId="0" fontId="16" fillId="0" borderId="20" xfId="3" applyFont="1" applyBorder="1" applyAlignment="1">
      <alignment horizontal="center"/>
    </xf>
    <xf numFmtId="166" fontId="17" fillId="8" borderId="21" xfId="4" applyNumberFormat="1" applyFont="1" applyFill="1" applyBorder="1" applyAlignment="1"/>
    <xf numFmtId="3" fontId="18" fillId="2" borderId="20" xfId="0" applyNumberFormat="1" applyFont="1" applyFill="1" applyBorder="1" applyAlignment="1">
      <alignment horizontal="center"/>
    </xf>
    <xf numFmtId="0" fontId="18" fillId="2" borderId="20" xfId="2" applyNumberFormat="1" applyFont="1" applyFill="1" applyBorder="1" applyAlignment="1">
      <alignment horizontal="center"/>
    </xf>
    <xf numFmtId="3" fontId="18" fillId="0" borderId="21" xfId="0" applyNumberFormat="1" applyFont="1" applyBorder="1" applyAlignment="1">
      <alignment horizontal="center"/>
    </xf>
    <xf numFmtId="3" fontId="18" fillId="2" borderId="21" xfId="0" applyNumberFormat="1" applyFont="1" applyFill="1" applyBorder="1" applyAlignment="1">
      <alignment horizontal="center"/>
    </xf>
    <xf numFmtId="43" fontId="18" fillId="2" borderId="20" xfId="1" applyFont="1" applyFill="1" applyBorder="1" applyAlignment="1">
      <alignment horizontal="center"/>
    </xf>
    <xf numFmtId="0" fontId="16" fillId="0" borderId="22" xfId="3" applyFont="1" applyBorder="1" applyAlignment="1">
      <alignment horizontal="center"/>
    </xf>
    <xf numFmtId="166" fontId="17" fillId="8" borderId="23" xfId="4" applyNumberFormat="1" applyFont="1" applyFill="1" applyBorder="1" applyAlignment="1"/>
    <xf numFmtId="3" fontId="18" fillId="2" borderId="22" xfId="0" applyNumberFormat="1" applyFont="1" applyFill="1" applyBorder="1" applyAlignment="1">
      <alignment horizontal="center"/>
    </xf>
    <xf numFmtId="0" fontId="18" fillId="2" borderId="22" xfId="2" applyNumberFormat="1" applyFont="1" applyFill="1" applyBorder="1" applyAlignment="1">
      <alignment horizontal="center"/>
    </xf>
    <xf numFmtId="3" fontId="18" fillId="0" borderId="23" xfId="0" applyNumberFormat="1" applyFont="1" applyBorder="1" applyAlignment="1">
      <alignment horizontal="center"/>
    </xf>
    <xf numFmtId="3" fontId="18" fillId="2" borderId="23" xfId="0" applyNumberFormat="1" applyFont="1" applyFill="1" applyBorder="1" applyAlignment="1">
      <alignment horizontal="center"/>
    </xf>
    <xf numFmtId="43" fontId="18" fillId="2" borderId="22" xfId="1" applyFont="1" applyFill="1" applyBorder="1" applyAlignment="1">
      <alignment horizontal="center"/>
    </xf>
    <xf numFmtId="0" fontId="16" fillId="0" borderId="4" xfId="3" applyFont="1" applyBorder="1" applyAlignment="1">
      <alignment horizontal="center"/>
    </xf>
    <xf numFmtId="166" fontId="17" fillId="8" borderId="24" xfId="4" applyNumberFormat="1" applyFont="1" applyFill="1" applyBorder="1" applyAlignment="1"/>
    <xf numFmtId="3" fontId="18" fillId="2" borderId="4" xfId="0" applyNumberFormat="1" applyFont="1" applyFill="1" applyBorder="1" applyAlignment="1">
      <alignment horizontal="center"/>
    </xf>
    <xf numFmtId="0" fontId="18" fillId="2" borderId="4" xfId="2" applyNumberFormat="1" applyFont="1" applyFill="1" applyBorder="1" applyAlignment="1">
      <alignment horizontal="center"/>
    </xf>
    <xf numFmtId="3" fontId="18" fillId="0" borderId="24" xfId="0" applyNumberFormat="1" applyFont="1" applyBorder="1" applyAlignment="1">
      <alignment horizontal="center"/>
    </xf>
    <xf numFmtId="3" fontId="18" fillId="2" borderId="24" xfId="0" applyNumberFormat="1" applyFont="1" applyFill="1" applyBorder="1" applyAlignment="1">
      <alignment horizontal="center"/>
    </xf>
    <xf numFmtId="43" fontId="18" fillId="2" borderId="4" xfId="1" applyFont="1" applyFill="1" applyBorder="1" applyAlignment="1">
      <alignment horizontal="center"/>
    </xf>
    <xf numFmtId="4" fontId="18" fillId="2" borderId="4" xfId="1" applyNumberFormat="1" applyFont="1" applyFill="1" applyBorder="1" applyAlignment="1">
      <alignment horizontal="center"/>
    </xf>
    <xf numFmtId="3" fontId="10" fillId="0" borderId="25" xfId="3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43" fontId="19" fillId="0" borderId="15" xfId="1" applyFont="1" applyBorder="1" applyAlignment="1">
      <alignment horizontal="center"/>
    </xf>
    <xf numFmtId="4" fontId="19" fillId="0" borderId="15" xfId="1" applyNumberFormat="1" applyFont="1" applyBorder="1" applyAlignment="1">
      <alignment horizontal="center"/>
    </xf>
    <xf numFmtId="43" fontId="0" fillId="0" borderId="0" xfId="1" applyFont="1"/>
    <xf numFmtId="3" fontId="10" fillId="0" borderId="12" xfId="3" applyNumberFormat="1" applyFont="1" applyBorder="1" applyAlignment="1">
      <alignment horizontal="center"/>
    </xf>
    <xf numFmtId="3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43" fontId="19" fillId="0" borderId="0" xfId="1" applyFont="1" applyAlignment="1">
      <alignment horizontal="center"/>
    </xf>
    <xf numFmtId="0" fontId="20" fillId="0" borderId="15" xfId="3" applyFont="1" applyBorder="1" applyAlignment="1">
      <alignment vertical="center"/>
    </xf>
    <xf numFmtId="0" fontId="20" fillId="0" borderId="16" xfId="3" applyFont="1" applyBorder="1" applyAlignment="1">
      <alignment vertical="center"/>
    </xf>
    <xf numFmtId="0" fontId="20" fillId="0" borderId="17" xfId="3" applyFont="1" applyBorder="1" applyAlignment="1">
      <alignment vertical="center"/>
    </xf>
    <xf numFmtId="43" fontId="20" fillId="0" borderId="15" xfId="1" applyFont="1" applyBorder="1" applyAlignment="1">
      <alignment vertical="center"/>
    </xf>
    <xf numFmtId="0" fontId="18" fillId="2" borderId="19" xfId="2" applyNumberFormat="1" applyFont="1" applyFill="1" applyBorder="1" applyAlignment="1">
      <alignment horizontal="center"/>
    </xf>
    <xf numFmtId="0" fontId="18" fillId="2" borderId="23" xfId="2" applyNumberFormat="1" applyFont="1" applyFill="1" applyBorder="1" applyAlignment="1">
      <alignment horizontal="center"/>
    </xf>
    <xf numFmtId="3" fontId="18" fillId="2" borderId="11" xfId="0" applyNumberFormat="1" applyFont="1" applyFill="1" applyBorder="1" applyAlignment="1">
      <alignment horizontal="center"/>
    </xf>
    <xf numFmtId="0" fontId="18" fillId="2" borderId="26" xfId="2" applyNumberFormat="1" applyFont="1" applyFill="1" applyBorder="1" applyAlignment="1">
      <alignment horizontal="center"/>
    </xf>
    <xf numFmtId="3" fontId="18" fillId="2" borderId="26" xfId="0" applyNumberFormat="1" applyFont="1" applyFill="1" applyBorder="1" applyAlignment="1">
      <alignment horizontal="center"/>
    </xf>
    <xf numFmtId="43" fontId="18" fillId="2" borderId="11" xfId="1" applyFont="1" applyFill="1" applyBorder="1" applyAlignment="1">
      <alignment horizontal="center"/>
    </xf>
    <xf numFmtId="3" fontId="10" fillId="2" borderId="0" xfId="3" applyNumberFormat="1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/>
    </xf>
    <xf numFmtId="43" fontId="19" fillId="2" borderId="0" xfId="1" applyFont="1" applyFill="1" applyAlignment="1">
      <alignment horizontal="center"/>
    </xf>
    <xf numFmtId="3" fontId="18" fillId="2" borderId="18" xfId="2" applyNumberFormat="1" applyFont="1" applyFill="1" applyBorder="1" applyAlignment="1">
      <alignment horizontal="center"/>
    </xf>
    <xf numFmtId="1" fontId="18" fillId="2" borderId="18" xfId="2" applyNumberFormat="1" applyFont="1" applyFill="1" applyBorder="1" applyAlignment="1">
      <alignment horizontal="center"/>
    </xf>
    <xf numFmtId="1" fontId="18" fillId="2" borderId="22" xfId="2" applyNumberFormat="1" applyFont="1" applyFill="1" applyBorder="1" applyAlignment="1">
      <alignment horizontal="center"/>
    </xf>
    <xf numFmtId="3" fontId="18" fillId="2" borderId="23" xfId="2" applyNumberFormat="1" applyFont="1" applyFill="1" applyBorder="1" applyAlignment="1">
      <alignment horizontal="center"/>
    </xf>
    <xf numFmtId="166" fontId="17" fillId="8" borderId="26" xfId="4" applyNumberFormat="1" applyFont="1" applyFill="1" applyBorder="1" applyAlignment="1"/>
    <xf numFmtId="0" fontId="18" fillId="2" borderId="11" xfId="2" applyNumberFormat="1" applyFont="1" applyFill="1" applyBorder="1" applyAlignment="1">
      <alignment horizontal="center"/>
    </xf>
    <xf numFmtId="1" fontId="18" fillId="2" borderId="11" xfId="2" applyNumberFormat="1" applyFont="1" applyFill="1" applyBorder="1" applyAlignment="1">
      <alignment horizontal="center"/>
    </xf>
    <xf numFmtId="3" fontId="10" fillId="0" borderId="15" xfId="3" applyNumberFormat="1" applyFont="1" applyBorder="1" applyAlignment="1">
      <alignment horizontal="center"/>
    </xf>
    <xf numFmtId="0" fontId="21" fillId="2" borderId="0" xfId="3" applyFont="1" applyFill="1" applyAlignment="1">
      <alignment horizontal="center"/>
    </xf>
    <xf numFmtId="3" fontId="22" fillId="0" borderId="25" xfId="3" applyNumberFormat="1" applyFont="1" applyBorder="1" applyAlignment="1">
      <alignment horizontal="center" vertical="center"/>
    </xf>
    <xf numFmtId="3" fontId="10" fillId="0" borderId="25" xfId="3" applyNumberFormat="1" applyFont="1" applyBorder="1" applyAlignment="1">
      <alignment horizontal="center" vertical="center"/>
    </xf>
    <xf numFmtId="43" fontId="10" fillId="0" borderId="25" xfId="1" applyFont="1" applyBorder="1" applyAlignment="1">
      <alignment horizontal="center" vertical="center"/>
    </xf>
    <xf numFmtId="43" fontId="3" fillId="2" borderId="0" xfId="1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0" fontId="14" fillId="0" borderId="25" xfId="3" applyFont="1" applyBorder="1" applyAlignment="1">
      <alignment vertical="center"/>
    </xf>
    <xf numFmtId="0" fontId="15" fillId="7" borderId="25" xfId="3" applyFont="1" applyFill="1" applyBorder="1" applyAlignment="1">
      <alignment horizontal="center"/>
    </xf>
    <xf numFmtId="4" fontId="18" fillId="2" borderId="23" xfId="1" applyNumberFormat="1" applyFont="1" applyFill="1" applyBorder="1" applyAlignment="1">
      <alignment horizontal="center"/>
    </xf>
    <xf numFmtId="4" fontId="18" fillId="2" borderId="27" xfId="1" applyNumberFormat="1" applyFont="1" applyFill="1" applyBorder="1" applyAlignment="1">
      <alignment horizontal="center"/>
    </xf>
  </cellXfs>
  <cellStyles count="5">
    <cellStyle name="Millares" xfId="1" builtinId="3"/>
    <cellStyle name="Millares 2" xfId="4" xr:uid="{DE28976E-5CBD-40B3-B3C2-7554292B268A}"/>
    <cellStyle name="Normal" xfId="0" builtinId="0"/>
    <cellStyle name="Normal 2" xfId="3" xr:uid="{222D17FC-F23A-4ECA-BD29-7D17580A1176}"/>
    <cellStyle name="Porcentaje" xfId="2" builtinId="5"/>
  </cellStyles>
  <dxfs count="7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0"/>
        <name val="Gill Sans MT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11</xdr:row>
      <xdr:rowOff>19050</xdr:rowOff>
    </xdr:from>
    <xdr:to>
      <xdr:col>3</xdr:col>
      <xdr:colOff>209550</xdr:colOff>
      <xdr:row>12</xdr:row>
      <xdr:rowOff>161925</xdr:rowOff>
    </xdr:to>
    <xdr:sp macro="[0]!Ocultar_solapas" textlink="">
      <xdr:nvSpPr>
        <xdr:cNvPr id="2" name="2 Bisel">
          <a:extLst>
            <a:ext uri="{FF2B5EF4-FFF2-40B4-BE49-F238E27FC236}">
              <a16:creationId xmlns:a16="http://schemas.microsoft.com/office/drawing/2014/main" id="{7DBA72E1-1276-4B1A-ADB6-BBF8FC32B8EA}"/>
            </a:ext>
          </a:extLst>
        </xdr:cNvPr>
        <xdr:cNvSpPr/>
      </xdr:nvSpPr>
      <xdr:spPr>
        <a:xfrm>
          <a:off x="1000125" y="2106930"/>
          <a:ext cx="4756785" cy="325755"/>
        </a:xfrm>
        <a:prstGeom prst="bevel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ysClr val="windowText" lastClr="000000"/>
              </a:solidFill>
            </a:rPr>
            <a:t>  Ocultar</a:t>
          </a:r>
          <a:r>
            <a:rPr lang="es-AR" sz="1100" baseline="0">
              <a:solidFill>
                <a:sysClr val="windowText" lastClr="000000"/>
              </a:solidFill>
            </a:rPr>
            <a:t> </a:t>
          </a:r>
          <a:r>
            <a:rPr lang="es-AR" sz="1100">
              <a:solidFill>
                <a:sysClr val="windowText" lastClr="000000"/>
              </a:solidFill>
            </a:rPr>
            <a:t> Solapas</a:t>
          </a:r>
        </a:p>
      </xdr:txBody>
    </xdr:sp>
    <xdr:clientData/>
  </xdr:twoCellAnchor>
  <xdr:twoCellAnchor>
    <xdr:from>
      <xdr:col>3</xdr:col>
      <xdr:colOff>390525</xdr:colOff>
      <xdr:row>11</xdr:row>
      <xdr:rowOff>9525</xdr:rowOff>
    </xdr:from>
    <xdr:to>
      <xdr:col>5</xdr:col>
      <xdr:colOff>161925</xdr:colOff>
      <xdr:row>12</xdr:row>
      <xdr:rowOff>152400</xdr:rowOff>
    </xdr:to>
    <xdr:sp macro="[0]!Mostrar_solapas" textlink="">
      <xdr:nvSpPr>
        <xdr:cNvPr id="3" name="3 Bisel">
          <a:extLst>
            <a:ext uri="{FF2B5EF4-FFF2-40B4-BE49-F238E27FC236}">
              <a16:creationId xmlns:a16="http://schemas.microsoft.com/office/drawing/2014/main" id="{46A96B3F-3CCE-433A-B624-5D579CC2A659}"/>
            </a:ext>
          </a:extLst>
        </xdr:cNvPr>
        <xdr:cNvSpPr/>
      </xdr:nvSpPr>
      <xdr:spPr>
        <a:xfrm>
          <a:off x="5937885" y="2097405"/>
          <a:ext cx="1752600" cy="325755"/>
        </a:xfrm>
        <a:prstGeom prst="bevel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ysClr val="windowText" lastClr="000000"/>
              </a:solidFill>
            </a:rPr>
            <a:t>  Mostrar</a:t>
          </a:r>
          <a:r>
            <a:rPr lang="es-AR" sz="1100" baseline="0">
              <a:solidFill>
                <a:sysClr val="windowText" lastClr="000000"/>
              </a:solidFill>
            </a:rPr>
            <a:t> </a:t>
          </a:r>
          <a:r>
            <a:rPr lang="es-AR" sz="1100">
              <a:solidFill>
                <a:sysClr val="windowText" lastClr="000000"/>
              </a:solidFill>
            </a:rPr>
            <a:t> Solapas</a:t>
          </a:r>
        </a:p>
      </xdr:txBody>
    </xdr:sp>
    <xdr:clientData/>
  </xdr:twoCellAnchor>
  <xdr:twoCellAnchor editAs="oneCell">
    <xdr:from>
      <xdr:col>0</xdr:col>
      <xdr:colOff>1</xdr:colOff>
      <xdr:row>0</xdr:row>
      <xdr:rowOff>0</xdr:rowOff>
    </xdr:from>
    <xdr:to>
      <xdr:col>1</xdr:col>
      <xdr:colOff>87086</xdr:colOff>
      <xdr:row>10</xdr:row>
      <xdr:rowOff>112078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9A18342-615B-B93D-91A3-30BC28716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2046514" cy="203884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3C188E-2CBA-4A67-A8B9-C18733ECB69D}" name="Tabla1" displayName="Tabla1" ref="A1:AJ122" totalsRowShown="0" headerRowDxfId="73">
  <autoFilter ref="A1:AJ122" xr:uid="{4D9C207C-F0D8-4931-8DF6-8877E91711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</autoFilter>
  <tableColumns count="36">
    <tableColumn id="1" xr3:uid="{4484F16F-17E6-4993-B1F4-093A59CD1095}" name="Columna 1"/>
    <tableColumn id="2" xr3:uid="{D95C4002-E105-4984-AA6A-43B6A9C75C1B}" name="Columna 2"/>
    <tableColumn id="3" xr3:uid="{EC009B7A-FFA5-4E91-B7D9-6C3E31228663}" name="Columna 3"/>
    <tableColumn id="4" xr3:uid="{4BFEB9DF-A9F9-418F-AE68-5885237E71D4}" name="Columna 4"/>
    <tableColumn id="5" xr3:uid="{E4706611-9E51-4FA3-8DF8-8F7DFFEA7B9A}" name="Columna 5"/>
    <tableColumn id="6" xr3:uid="{E16C7570-D7C1-4940-9323-2C998F36EB86}" name="Columna 6"/>
    <tableColumn id="7" xr3:uid="{22D4A8F5-3D7D-48A0-93CC-FC740356D416}" name="Columna 7"/>
    <tableColumn id="8" xr3:uid="{7F361182-C890-4B14-84DF-2B26134F6EDC}" name="Columna 8"/>
    <tableColumn id="9" xr3:uid="{100EE228-965D-4086-A3D1-618834F2302E}" name="Columna 9"/>
    <tableColumn id="10" xr3:uid="{6B45E7AA-A25F-4F80-B327-EF9FAEA77F76}" name="Columna 10"/>
    <tableColumn id="11" xr3:uid="{55B01A8A-1234-43F6-98C5-5A8F3A164052}" name="Columna 11"/>
    <tableColumn id="12" xr3:uid="{9BA3C53C-243D-46E6-B3E9-D32DFEAEF037}" name="Columna 12"/>
    <tableColumn id="13" xr3:uid="{A390BBB2-93EE-4F88-B9AC-96A33DC62683}" name="Columna 13"/>
    <tableColumn id="14" xr3:uid="{33229A49-E80C-42C7-A19F-FE04E8A8C291}" name="Columna 14"/>
    <tableColumn id="15" xr3:uid="{C1ECA015-7D6B-4F98-BBF2-11CE6585C1D3}" name="Columna 15"/>
    <tableColumn id="16" xr3:uid="{7CDDB70D-AF96-47CC-8BB4-A2E58D020CD4}" name="Columna 16"/>
    <tableColumn id="17" xr3:uid="{FB998681-F5AE-402E-A64F-AFA1A99B36BB}" name="Columna 17"/>
    <tableColumn id="18" xr3:uid="{D5CB27C4-FBF7-4F53-B96E-65C7B6C2054D}" name="Columna 18" dataDxfId="72"/>
    <tableColumn id="19" xr3:uid="{AA47E02B-EE09-4DD1-B035-01D85155188C}" name="Columna 19"/>
    <tableColumn id="20" xr3:uid="{A416333B-C91B-41F9-9672-1C5D0B0EB8C3}" name="Columna 20"/>
    <tableColumn id="21" xr3:uid="{9404EFF3-41E7-496F-BF49-CB35FB687AB7}" name="Columna 21"/>
    <tableColumn id="22" xr3:uid="{F437CCF5-2C04-4FC0-B0FC-BCF21BDEDB7B}" name="Columna 22" dataDxfId="71"/>
    <tableColumn id="23" xr3:uid="{176721A3-287F-4A3C-A84A-39FCA2A9E762}" name="Columna 23"/>
    <tableColumn id="24" xr3:uid="{24189498-96CC-442F-BCB4-7CB681E93EED}" name="Columna 24" dataDxfId="70"/>
    <tableColumn id="25" xr3:uid="{326527D0-FD60-4504-BCB9-45AC890D3BCA}" name="Columna 25"/>
    <tableColumn id="26" xr3:uid="{8ACEA8A3-C07D-4BCB-9669-98CF4DFE9CA7}" name="Columna 26"/>
    <tableColumn id="27" xr3:uid="{F816D878-5E92-4C69-96FE-4FB355F632EB}" name="Columna 27"/>
    <tableColumn id="28" xr3:uid="{02BC91F3-0D77-48F8-9622-A413A10B166C}" name="Columna 28" dataDxfId="69"/>
    <tableColumn id="29" xr3:uid="{9EBFFEA7-F725-4B36-AB6E-A8920F3D8847}" name="Columna 29"/>
    <tableColumn id="30" xr3:uid="{86083633-FCB3-45D3-9F5C-6363FAA50F11}" name="Columna 30"/>
    <tableColumn id="31" xr3:uid="{817CBBA7-7485-490B-8C98-F17401CD2D3F}" name="Columna 31"/>
    <tableColumn id="32" xr3:uid="{6E91C2FB-C1CF-40FA-AFAA-297B02916787}" name="Columna 32"/>
    <tableColumn id="33" xr3:uid="{9C6E8AE8-2EB0-4800-B2C7-6AE73ABB5AE9}" name="Columna 33" dataDxfId="68"/>
    <tableColumn id="34" xr3:uid="{6825EA3B-AC69-418A-9847-E682A280843D}" name="Columna 34" dataDxfId="67"/>
    <tableColumn id="35" xr3:uid="{E64649DC-1288-4C06-9F5D-E9D499D0B63E}" name="Columna 35"/>
    <tableColumn id="36" xr3:uid="{0B00B2BD-4565-4B0E-B141-D36F6235B8D7}" name="Columna 36" dataDxfId="6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07A84-931A-4B21-8042-0A177FAF10E2}">
  <sheetPr codeName="Hoja2">
    <tabColor rgb="FF002060"/>
  </sheetPr>
  <dimension ref="A1:AJ246"/>
  <sheetViews>
    <sheetView showGridLines="0" tabSelected="1" zoomScale="70" zoomScaleNormal="70" workbookViewId="0">
      <selection activeCell="B2" sqref="B2"/>
    </sheetView>
  </sheetViews>
  <sheetFormatPr baseColWidth="10" defaultRowHeight="14.4"/>
  <cols>
    <col min="1" max="1" width="28.5546875" customWidth="1"/>
    <col min="2" max="2" width="49.44140625" customWidth="1"/>
    <col min="3" max="3" width="17" style="49" customWidth="1"/>
    <col min="4" max="5" width="14.44140625" style="5" customWidth="1"/>
    <col min="6" max="6" width="12.109375" style="5" customWidth="1"/>
    <col min="7" max="7" width="14.44140625" style="5" customWidth="1"/>
    <col min="8" max="8" width="22.88671875" style="5" bestFit="1" customWidth="1"/>
    <col min="9" max="9" width="15.109375" style="5" customWidth="1"/>
    <col min="10" max="10" width="16.33203125" style="5" bestFit="1" customWidth="1"/>
    <col min="11" max="11" width="17.21875" style="5" customWidth="1"/>
    <col min="12" max="12" width="18.5546875" customWidth="1"/>
    <col min="13" max="36" width="15.5546875" customWidth="1"/>
  </cols>
  <sheetData>
    <row r="1" spans="1:36" ht="19.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C2" s="2"/>
      <c r="D2" s="3"/>
      <c r="E2" s="3"/>
      <c r="F2" s="3"/>
      <c r="G2" s="4"/>
      <c r="H2"/>
      <c r="W2" s="6" t="s">
        <v>36</v>
      </c>
    </row>
    <row r="3" spans="1:36">
      <c r="C3" s="7"/>
      <c r="D3" s="6" t="s">
        <v>37</v>
      </c>
      <c r="E3" t="s">
        <v>38</v>
      </c>
      <c r="F3"/>
      <c r="G3" s="8"/>
      <c r="H3"/>
      <c r="K3"/>
      <c r="L3" t="s">
        <v>39</v>
      </c>
      <c r="W3" s="9"/>
    </row>
    <row r="4" spans="1:36">
      <c r="C4" s="7"/>
      <c r="D4" s="6" t="s">
        <v>40</v>
      </c>
      <c r="E4" t="s">
        <v>41</v>
      </c>
      <c r="F4"/>
      <c r="G4" s="8"/>
      <c r="H4"/>
      <c r="K4"/>
      <c r="S4" s="10">
        <v>0</v>
      </c>
      <c r="T4" s="11"/>
      <c r="U4" s="12"/>
    </row>
    <row r="5" spans="1:36">
      <c r="C5" s="7"/>
      <c r="D5" s="6" t="s">
        <v>42</v>
      </c>
      <c r="E5" s="13" t="s">
        <v>43</v>
      </c>
      <c r="F5"/>
      <c r="G5" s="8"/>
      <c r="H5"/>
      <c r="K5"/>
      <c r="M5" s="10"/>
      <c r="N5" s="11"/>
      <c r="O5" s="12"/>
      <c r="S5" s="14" t="s">
        <v>44</v>
      </c>
      <c r="T5" s="14" t="s">
        <v>45</v>
      </c>
      <c r="U5" s="15" t="s">
        <v>46</v>
      </c>
      <c r="Y5" s="14" t="s">
        <v>47</v>
      </c>
      <c r="Z5" s="14" t="s">
        <v>45</v>
      </c>
      <c r="AA5" s="14" t="s">
        <v>48</v>
      </c>
      <c r="AB5" s="16"/>
      <c r="AC5" s="14" t="s">
        <v>49</v>
      </c>
      <c r="AD5" s="14" t="s">
        <v>45</v>
      </c>
      <c r="AE5" s="14" t="s">
        <v>50</v>
      </c>
      <c r="AF5" s="14"/>
    </row>
    <row r="6" spans="1:36">
      <c r="C6" s="7"/>
      <c r="D6" s="6" t="s">
        <v>51</v>
      </c>
      <c r="E6" t="s">
        <v>52</v>
      </c>
      <c r="F6"/>
      <c r="G6" s="8"/>
      <c r="H6"/>
      <c r="K6"/>
      <c r="M6" s="14" t="s">
        <v>44</v>
      </c>
      <c r="N6" s="14" t="s">
        <v>45</v>
      </c>
      <c r="O6" s="15" t="s">
        <v>46</v>
      </c>
      <c r="S6" s="17">
        <v>0</v>
      </c>
      <c r="T6" s="17">
        <v>0</v>
      </c>
      <c r="U6" s="18"/>
      <c r="V6" s="19"/>
      <c r="W6" t="s">
        <v>53</v>
      </c>
      <c r="Y6" s="17">
        <v>200</v>
      </c>
      <c r="Z6" s="17">
        <v>0</v>
      </c>
      <c r="AA6" s="18">
        <v>0</v>
      </c>
      <c r="AB6" s="20"/>
      <c r="AC6" s="17"/>
      <c r="AD6" s="17">
        <v>0</v>
      </c>
      <c r="AE6" s="18"/>
      <c r="AF6" s="18"/>
      <c r="AG6" s="21"/>
      <c r="AH6" s="21"/>
      <c r="AI6" s="21"/>
    </row>
    <row r="7" spans="1:36">
      <c r="C7" s="7"/>
      <c r="D7"/>
      <c r="E7"/>
      <c r="F7"/>
      <c r="G7" s="8"/>
      <c r="H7"/>
      <c r="K7"/>
      <c r="L7" t="s">
        <v>53</v>
      </c>
      <c r="M7" s="17">
        <v>200</v>
      </c>
      <c r="N7" s="22">
        <v>0</v>
      </c>
      <c r="O7" s="18">
        <v>0</v>
      </c>
      <c r="P7" s="16"/>
      <c r="S7" s="17">
        <v>0</v>
      </c>
      <c r="T7" s="17">
        <v>0</v>
      </c>
      <c r="U7" s="18"/>
      <c r="V7" s="19"/>
      <c r="Y7" s="17">
        <v>0</v>
      </c>
      <c r="Z7" s="17">
        <v>4873.0000000000009</v>
      </c>
      <c r="AA7" s="18">
        <v>14.889131383675254</v>
      </c>
      <c r="AB7" s="20"/>
      <c r="AC7" s="17"/>
      <c r="AD7" s="17">
        <v>4873.0000000000009</v>
      </c>
      <c r="AE7" s="18"/>
      <c r="AF7" s="18"/>
      <c r="AG7" s="21"/>
      <c r="AH7" s="21"/>
      <c r="AI7" s="21"/>
    </row>
    <row r="8" spans="1:36">
      <c r="C8" s="7"/>
      <c r="D8" s="23">
        <v>44562</v>
      </c>
      <c r="E8" s="24" t="s">
        <v>54</v>
      </c>
      <c r="F8"/>
      <c r="G8" s="8"/>
      <c r="H8"/>
      <c r="K8"/>
      <c r="M8" s="17">
        <v>0</v>
      </c>
      <c r="N8" s="17">
        <v>4873.0000000000009</v>
      </c>
      <c r="O8" s="18">
        <v>14.889131383675254</v>
      </c>
      <c r="P8" s="16"/>
      <c r="S8" s="17">
        <v>0</v>
      </c>
      <c r="T8" s="17">
        <v>0</v>
      </c>
      <c r="U8" s="18"/>
      <c r="V8" s="19"/>
      <c r="Y8" s="17">
        <v>0</v>
      </c>
      <c r="Z8" s="17">
        <v>24572.000000000004</v>
      </c>
      <c r="AA8" s="18">
        <v>4.2783871850359425</v>
      </c>
      <c r="AB8" s="20"/>
      <c r="AC8" s="17"/>
      <c r="AD8" s="17">
        <v>24572.000000000004</v>
      </c>
      <c r="AE8" s="18"/>
      <c r="AF8" s="18"/>
      <c r="AG8" s="21"/>
      <c r="AH8" s="21"/>
      <c r="AI8" s="21"/>
    </row>
    <row r="9" spans="1:36">
      <c r="C9" s="7"/>
      <c r="D9"/>
      <c r="E9"/>
      <c r="F9"/>
      <c r="G9" s="8"/>
      <c r="H9"/>
      <c r="K9"/>
      <c r="M9" s="17">
        <v>0</v>
      </c>
      <c r="N9" s="17">
        <v>24572.000000000004</v>
      </c>
      <c r="O9" s="18">
        <v>4.2783871850359425</v>
      </c>
      <c r="P9" s="16"/>
      <c r="S9" s="25">
        <v>0</v>
      </c>
      <c r="T9" s="26">
        <v>0</v>
      </c>
      <c r="U9" s="18"/>
      <c r="V9" s="19"/>
      <c r="W9" s="9" t="s">
        <v>55</v>
      </c>
      <c r="Y9" s="25">
        <v>200</v>
      </c>
      <c r="Z9" s="26">
        <v>29445.000000000004</v>
      </c>
      <c r="AA9" s="18">
        <v>146.22500000000002</v>
      </c>
      <c r="AB9" s="20"/>
      <c r="AC9" s="25"/>
      <c r="AD9" s="26">
        <v>29445.000000000004</v>
      </c>
      <c r="AE9" s="18"/>
      <c r="AF9" s="18"/>
      <c r="AG9" s="21"/>
      <c r="AH9" s="21"/>
      <c r="AI9" s="21"/>
    </row>
    <row r="10" spans="1:36" ht="15" thickBot="1">
      <c r="C10" s="27"/>
      <c r="D10" s="28"/>
      <c r="E10" s="28"/>
      <c r="F10" s="28"/>
      <c r="G10" s="29"/>
      <c r="H10"/>
      <c r="K10"/>
      <c r="L10" t="s">
        <v>55</v>
      </c>
      <c r="M10" s="25">
        <v>200</v>
      </c>
      <c r="N10" s="26">
        <v>29445.000000000004</v>
      </c>
      <c r="O10" s="18">
        <v>146.22500000000002</v>
      </c>
      <c r="P10" s="16"/>
      <c r="S10" s="30"/>
      <c r="T10" s="30"/>
      <c r="U10" s="30"/>
      <c r="V10" s="19"/>
      <c r="Y10" s="30"/>
      <c r="Z10" s="30"/>
      <c r="AA10" s="31"/>
      <c r="AB10" s="20"/>
      <c r="AC10" s="30"/>
      <c r="AD10" s="30"/>
      <c r="AE10" s="31"/>
      <c r="AG10" s="21"/>
      <c r="AH10" s="21"/>
      <c r="AI10" s="21"/>
    </row>
    <row r="11" spans="1:36">
      <c r="C11"/>
      <c r="D11"/>
      <c r="E11"/>
      <c r="F11"/>
      <c r="G11"/>
      <c r="H11"/>
      <c r="K11"/>
      <c r="M11" s="30"/>
      <c r="N11" s="30"/>
      <c r="O11" s="30"/>
      <c r="P11" s="16"/>
      <c r="S11" s="25">
        <v>0</v>
      </c>
      <c r="T11" s="25">
        <v>629</v>
      </c>
      <c r="U11" s="18"/>
      <c r="V11" s="19"/>
      <c r="W11" s="9" t="s">
        <v>56</v>
      </c>
      <c r="Y11" s="25">
        <v>0</v>
      </c>
      <c r="Z11" s="25">
        <v>0</v>
      </c>
      <c r="AA11" s="18"/>
      <c r="AB11" s="20"/>
      <c r="AC11" s="25">
        <v>446038</v>
      </c>
      <c r="AD11" s="25">
        <v>0</v>
      </c>
      <c r="AE11" s="18">
        <v>-1</v>
      </c>
      <c r="AF11" s="18"/>
      <c r="AG11" s="21"/>
      <c r="AH11" s="21"/>
      <c r="AI11" s="21"/>
    </row>
    <row r="12" spans="1:36">
      <c r="C12"/>
      <c r="D12"/>
      <c r="E12"/>
      <c r="F12"/>
      <c r="G12"/>
      <c r="H12"/>
      <c r="K12"/>
      <c r="L12" t="s">
        <v>56</v>
      </c>
      <c r="M12" s="25">
        <v>0</v>
      </c>
      <c r="N12" s="26">
        <v>0</v>
      </c>
      <c r="O12" s="18"/>
      <c r="P12" s="32"/>
      <c r="S12" s="30"/>
      <c r="T12" s="30"/>
      <c r="U12" s="30"/>
      <c r="Y12" s="30"/>
      <c r="Z12" s="30"/>
      <c r="AA12" s="31"/>
      <c r="AB12" s="20"/>
      <c r="AC12" s="30"/>
      <c r="AD12" s="30"/>
      <c r="AE12" s="31"/>
      <c r="AG12" s="21"/>
      <c r="AH12" s="21"/>
      <c r="AI12" s="21"/>
    </row>
    <row r="13" spans="1:36">
      <c r="C13"/>
      <c r="D13"/>
      <c r="E13"/>
      <c r="F13"/>
      <c r="G13"/>
      <c r="H13"/>
      <c r="K13"/>
      <c r="M13" s="30"/>
      <c r="N13" s="30"/>
      <c r="O13" s="30"/>
      <c r="P13" s="16"/>
      <c r="S13" s="33">
        <v>0</v>
      </c>
      <c r="T13" s="34">
        <v>629</v>
      </c>
      <c r="U13" s="18"/>
      <c r="W13" s="9" t="s">
        <v>57</v>
      </c>
      <c r="Y13" s="33">
        <v>200</v>
      </c>
      <c r="Z13" s="34">
        <v>29445.000000000004</v>
      </c>
      <c r="AA13" s="18">
        <v>146.22500000000002</v>
      </c>
      <c r="AB13" s="20"/>
      <c r="AC13" s="33"/>
      <c r="AD13" s="34">
        <v>29445.000000000004</v>
      </c>
      <c r="AE13" s="18"/>
      <c r="AF13" s="18"/>
      <c r="AG13" s="21"/>
      <c r="AH13" s="21"/>
      <c r="AI13" s="21"/>
    </row>
    <row r="14" spans="1:36">
      <c r="C14"/>
      <c r="D14"/>
      <c r="E14"/>
      <c r="F14"/>
      <c r="G14"/>
      <c r="H14"/>
      <c r="K14"/>
      <c r="L14" t="s">
        <v>57</v>
      </c>
      <c r="M14" s="33">
        <v>200</v>
      </c>
      <c r="N14" s="34">
        <v>29445.000000000004</v>
      </c>
      <c r="O14" s="18">
        <v>146.22500000000002</v>
      </c>
      <c r="P14" s="16"/>
    </row>
    <row r="15" spans="1:36" ht="15.6">
      <c r="C15" s="35"/>
      <c r="T15" s="36"/>
      <c r="U15" s="37"/>
      <c r="AA15" s="37"/>
      <c r="AE15" s="21"/>
    </row>
    <row r="16" spans="1:36" ht="16.5" customHeight="1">
      <c r="A16" s="38" t="s">
        <v>239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N16" s="6" t="s">
        <v>58</v>
      </c>
      <c r="U16" s="37"/>
      <c r="W16" s="6" t="s">
        <v>59</v>
      </c>
      <c r="AA16" s="37"/>
      <c r="AE16" s="21"/>
    </row>
    <row r="17" spans="1:35" ht="16.5" customHeight="1" thickBot="1">
      <c r="B17" t="s">
        <v>170</v>
      </c>
      <c r="C17" s="39"/>
      <c r="T17" s="36"/>
      <c r="U17" s="37"/>
      <c r="AA17" s="37"/>
      <c r="AE17" s="21"/>
    </row>
    <row r="18" spans="1:35" ht="34.5" customHeight="1" thickBot="1">
      <c r="A18" s="40"/>
      <c r="B18" s="40"/>
      <c r="C18" s="41" t="s">
        <v>60</v>
      </c>
      <c r="D18" s="42" t="s">
        <v>61</v>
      </c>
      <c r="E18" s="43"/>
      <c r="F18" s="43"/>
      <c r="G18" s="43"/>
      <c r="H18" s="43"/>
      <c r="I18" s="44"/>
      <c r="J18" s="44"/>
      <c r="K18" s="114"/>
      <c r="L18" s="38"/>
      <c r="M18" s="38"/>
      <c r="O18" s="14" t="s">
        <v>44</v>
      </c>
      <c r="P18" s="14" t="s">
        <v>47</v>
      </c>
      <c r="Q18" s="15" t="s">
        <v>46</v>
      </c>
      <c r="U18" s="37"/>
      <c r="Y18" s="14" t="s">
        <v>208</v>
      </c>
      <c r="AA18" s="14" t="s">
        <v>208</v>
      </c>
      <c r="AC18" s="14" t="s">
        <v>62</v>
      </c>
      <c r="AE18" s="21"/>
      <c r="AF18" s="14" t="s">
        <v>208</v>
      </c>
      <c r="AG18" s="14"/>
      <c r="AI18" s="14" t="s">
        <v>62</v>
      </c>
    </row>
    <row r="19" spans="1:35" s="49" customFormat="1" ht="16.8" customHeight="1" thickBot="1">
      <c r="A19" s="40" t="s">
        <v>63</v>
      </c>
      <c r="B19" s="40" t="s">
        <v>64</v>
      </c>
      <c r="C19" s="41" t="s">
        <v>47</v>
      </c>
      <c r="D19" s="45" t="s">
        <v>65</v>
      </c>
      <c r="E19" s="46" t="s">
        <v>66</v>
      </c>
      <c r="F19" s="46" t="s">
        <v>67</v>
      </c>
      <c r="G19" s="46" t="s">
        <v>68</v>
      </c>
      <c r="H19" s="47" t="s">
        <v>69</v>
      </c>
      <c r="I19" s="48" t="s">
        <v>70</v>
      </c>
      <c r="J19" s="48" t="s">
        <v>71</v>
      </c>
      <c r="K19" s="115" t="s">
        <v>72</v>
      </c>
      <c r="L19" s="38"/>
      <c r="M19" s="38"/>
      <c r="N19" t="s">
        <v>53</v>
      </c>
      <c r="O19" s="17">
        <v>200</v>
      </c>
      <c r="P19" s="17">
        <v>0</v>
      </c>
      <c r="Q19" s="18">
        <v>0</v>
      </c>
      <c r="R19"/>
      <c r="S19"/>
      <c r="T19" s="36"/>
      <c r="U19" s="37"/>
      <c r="V19"/>
      <c r="W19" t="s">
        <v>53</v>
      </c>
      <c r="X19"/>
      <c r="Y19" s="17">
        <v>200</v>
      </c>
      <c r="Z19" s="16">
        <v>0</v>
      </c>
      <c r="AA19" s="17">
        <v>0</v>
      </c>
      <c r="AB19" s="16"/>
      <c r="AC19" s="18"/>
      <c r="AD19"/>
      <c r="AE19" s="21"/>
      <c r="AF19" s="17">
        <v>0</v>
      </c>
      <c r="AG19" s="17"/>
      <c r="AH19"/>
      <c r="AI19" s="18"/>
    </row>
    <row r="20" spans="1:35" ht="21" customHeight="1">
      <c r="A20" s="62" t="e">
        <v>#DIV/0!</v>
      </c>
      <c r="B20" s="62" t="e">
        <v>#DIV/0!</v>
      </c>
      <c r="C20" s="63" t="e">
        <v>#DIV/0!</v>
      </c>
      <c r="D20" s="64" t="e">
        <v>#DIV/0!</v>
      </c>
      <c r="E20" s="64" t="e">
        <v>#DIV/0!</v>
      </c>
      <c r="F20" s="65" t="e">
        <v>#DIV/0!</v>
      </c>
      <c r="G20" s="66" t="e">
        <v>#DIV/0!</v>
      </c>
      <c r="H20" s="67" t="e">
        <v>#DIV/0!</v>
      </c>
      <c r="I20" s="68" t="e">
        <v>#DIV/0!</v>
      </c>
      <c r="J20" s="68" t="e">
        <v>#DIV/0!</v>
      </c>
      <c r="K20" s="116" t="e">
        <v>#DIV/0!</v>
      </c>
      <c r="L20" s="9" t="e">
        <v>#DIV/0!</v>
      </c>
      <c r="M20" s="9" t="e">
        <v>#DIV/0!</v>
      </c>
      <c r="N20" s="9" t="e">
        <v>#DIV/0!</v>
      </c>
      <c r="O20" s="25" t="e">
        <v>#DIV/0!</v>
      </c>
      <c r="P20" s="26" t="e">
        <v>#DIV/0!</v>
      </c>
      <c r="Q20" s="18" t="e">
        <v>#DIV/0!</v>
      </c>
      <c r="S20" t="e">
        <v>#DIV/0!</v>
      </c>
      <c r="T20" t="e">
        <v>#DIV/0!</v>
      </c>
      <c r="U20" t="e">
        <v>#DIV/0!</v>
      </c>
      <c r="W20" s="9" t="e">
        <v>#DIV/0!</v>
      </c>
      <c r="Y20" s="25" t="e">
        <v>#DIV/0!</v>
      </c>
      <c r="Z20" s="16" t="e">
        <v>#DIV/0!</v>
      </c>
      <c r="AA20" s="25" t="e">
        <v>#DIV/0!</v>
      </c>
      <c r="AB20" s="16"/>
      <c r="AC20" s="18" t="e">
        <v>#DIV/0!</v>
      </c>
      <c r="AD20" t="e">
        <v>#DIV/0!</v>
      </c>
      <c r="AE20" t="e">
        <v>#DIV/0!</v>
      </c>
      <c r="AF20" s="25" t="e">
        <v>#DIV/0!</v>
      </c>
      <c r="AG20" s="25"/>
      <c r="AI20" s="18" t="e">
        <v>#DIV/0!</v>
      </c>
    </row>
    <row r="21" spans="1:35" ht="25.2">
      <c r="A21" s="62" t="s">
        <v>240</v>
      </c>
      <c r="B21" s="62" t="s">
        <v>88</v>
      </c>
      <c r="C21" s="63">
        <v>9999</v>
      </c>
      <c r="D21" s="64">
        <v>120000</v>
      </c>
      <c r="E21" s="64">
        <v>66109</v>
      </c>
      <c r="F21" s="65">
        <v>47</v>
      </c>
      <c r="G21" s="66">
        <v>27694.000000000004</v>
      </c>
      <c r="H21" s="67">
        <v>2.8109620822156169</v>
      </c>
      <c r="I21" s="68">
        <v>17665.000000000004</v>
      </c>
      <c r="J21" s="68">
        <v>4.5499999999999972</v>
      </c>
      <c r="K21" s="116" t="s">
        <v>73</v>
      </c>
      <c r="L21" s="38"/>
      <c r="M21" s="38"/>
      <c r="N21" s="9"/>
      <c r="O21" s="25">
        <v>0</v>
      </c>
      <c r="P21" s="26">
        <v>4873.0000000000009</v>
      </c>
      <c r="Q21" s="18">
        <v>14.889131383675254</v>
      </c>
      <c r="W21" s="9"/>
      <c r="Y21" s="25">
        <v>0</v>
      </c>
      <c r="Z21" s="16">
        <v>4873.0000000000009</v>
      </c>
      <c r="AA21" s="25">
        <v>14.889131383675254</v>
      </c>
      <c r="AB21" s="16"/>
      <c r="AC21" s="18">
        <v>-1</v>
      </c>
      <c r="AF21" s="25">
        <v>0</v>
      </c>
      <c r="AG21" s="25"/>
      <c r="AI21" s="18"/>
    </row>
    <row r="22" spans="1:35" ht="25.2">
      <c r="A22" s="62" t="s">
        <v>209</v>
      </c>
      <c r="B22" s="62" t="s">
        <v>89</v>
      </c>
      <c r="C22" s="63">
        <v>169999</v>
      </c>
      <c r="D22" s="64">
        <v>100000</v>
      </c>
      <c r="E22" s="64">
        <v>59071</v>
      </c>
      <c r="F22" s="65">
        <v>6</v>
      </c>
      <c r="G22" s="66">
        <v>39598.000000000007</v>
      </c>
      <c r="H22" s="67">
        <v>3.7073307742720725</v>
      </c>
      <c r="I22" s="68">
        <v>43628.000000000007</v>
      </c>
      <c r="J22" s="68">
        <v>3.25</v>
      </c>
      <c r="K22" s="116" t="s">
        <v>74</v>
      </c>
      <c r="L22" s="38"/>
      <c r="M22" s="38"/>
      <c r="N22" s="9"/>
      <c r="O22" s="25">
        <v>0</v>
      </c>
      <c r="P22" s="26">
        <v>24572.000000000004</v>
      </c>
      <c r="Q22" s="18">
        <v>4.2783871850359425</v>
      </c>
      <c r="W22" s="9"/>
      <c r="Y22" s="25">
        <v>0</v>
      </c>
      <c r="Z22" s="16">
        <v>24572.000000000004</v>
      </c>
      <c r="AA22" s="25">
        <v>4.2783871850359425</v>
      </c>
      <c r="AB22" s="16"/>
      <c r="AC22" s="18">
        <v>-1</v>
      </c>
      <c r="AF22" s="25">
        <v>0</v>
      </c>
      <c r="AG22" s="25"/>
      <c r="AI22" s="18"/>
    </row>
    <row r="23" spans="1:35" ht="25.2">
      <c r="A23" s="62" t="s">
        <v>210</v>
      </c>
      <c r="B23" s="62" t="s">
        <v>90</v>
      </c>
      <c r="C23" s="63">
        <v>109999</v>
      </c>
      <c r="D23" s="64">
        <v>71000</v>
      </c>
      <c r="E23" s="64">
        <v>51156</v>
      </c>
      <c r="F23" s="65">
        <v>0</v>
      </c>
      <c r="G23" s="66">
        <v>54807.000000000007</v>
      </c>
      <c r="H23" s="67">
        <v>6.5419991815019447</v>
      </c>
      <c r="I23" s="68">
        <v>44416.000000000007</v>
      </c>
      <c r="J23" s="68">
        <v>4.9899999999999984</v>
      </c>
      <c r="K23" s="116" t="s">
        <v>75</v>
      </c>
      <c r="L23" s="38"/>
      <c r="M23" s="38"/>
      <c r="N23" s="9" t="s">
        <v>55</v>
      </c>
      <c r="O23" s="25"/>
      <c r="P23" s="26"/>
      <c r="Q23" s="18"/>
      <c r="W23" s="9" t="s">
        <v>55</v>
      </c>
      <c r="Y23" s="25"/>
      <c r="Z23" s="16"/>
      <c r="AA23" s="25"/>
      <c r="AB23" s="16"/>
      <c r="AC23" s="18"/>
      <c r="AF23" s="25"/>
      <c r="AG23" s="25"/>
      <c r="AI23" s="18"/>
    </row>
    <row r="24" spans="1:35" ht="25.2">
      <c r="A24" s="62" t="s">
        <v>171</v>
      </c>
      <c r="B24" s="62" t="s">
        <v>91</v>
      </c>
      <c r="C24" s="63">
        <v>48999</v>
      </c>
      <c r="D24" s="64">
        <v>29000</v>
      </c>
      <c r="E24" s="64">
        <v>12219</v>
      </c>
      <c r="F24" s="65">
        <v>169</v>
      </c>
      <c r="G24" s="66">
        <v>6399.0000000000009</v>
      </c>
      <c r="H24" s="67">
        <v>2.1181727904667333</v>
      </c>
      <c r="I24" s="68">
        <v>0</v>
      </c>
      <c r="J24" s="68">
        <v>5.6099999999999994</v>
      </c>
      <c r="K24" s="116" t="s">
        <v>76</v>
      </c>
      <c r="L24" s="38"/>
      <c r="M24" s="38"/>
      <c r="O24" s="30"/>
      <c r="P24" s="30"/>
      <c r="Q24" s="30"/>
      <c r="Y24" s="30"/>
      <c r="Z24" s="16"/>
      <c r="AA24" s="16"/>
      <c r="AB24" s="16"/>
      <c r="AC24" s="16"/>
      <c r="AF24" s="16"/>
      <c r="AI24" s="16"/>
    </row>
    <row r="25" spans="1:35" ht="25.2">
      <c r="A25" s="62" t="s">
        <v>211</v>
      </c>
      <c r="B25" s="62" t="s">
        <v>92</v>
      </c>
      <c r="C25" s="63">
        <v>36999</v>
      </c>
      <c r="D25" s="64">
        <v>15000</v>
      </c>
      <c r="E25" s="64">
        <v>660</v>
      </c>
      <c r="F25" s="65">
        <v>200</v>
      </c>
      <c r="G25" s="66">
        <v>0</v>
      </c>
      <c r="H25" s="67">
        <v>0</v>
      </c>
      <c r="I25" s="68">
        <v>0</v>
      </c>
      <c r="J25" s="68">
        <v>3.9899999999999984</v>
      </c>
      <c r="K25" s="116" t="s">
        <v>77</v>
      </c>
      <c r="L25" s="38"/>
      <c r="M25" s="38"/>
      <c r="N25" s="9" t="s">
        <v>56</v>
      </c>
      <c r="O25" s="25">
        <v>0</v>
      </c>
      <c r="P25" s="25">
        <v>0</v>
      </c>
      <c r="Q25" s="18"/>
      <c r="W25" s="9" t="s">
        <v>56</v>
      </c>
      <c r="Y25" s="25">
        <v>0</v>
      </c>
      <c r="Z25" s="16"/>
      <c r="AA25" s="25">
        <v>0</v>
      </c>
      <c r="AB25" s="16"/>
      <c r="AC25" s="18"/>
      <c r="AF25" s="25">
        <v>0</v>
      </c>
      <c r="AG25" s="25"/>
      <c r="AI25" s="18"/>
    </row>
    <row r="26" spans="1:35" ht="25.2">
      <c r="A26" s="62" t="s">
        <v>241</v>
      </c>
      <c r="B26" s="62" t="s">
        <v>93</v>
      </c>
      <c r="C26" s="63">
        <v>3999</v>
      </c>
      <c r="D26" s="64">
        <v>15500</v>
      </c>
      <c r="E26" s="64">
        <v>1811</v>
      </c>
      <c r="F26" s="65">
        <v>0</v>
      </c>
      <c r="G26" s="66">
        <v>4873.0000000000009</v>
      </c>
      <c r="H26" s="67">
        <v>14.889131383675254</v>
      </c>
      <c r="I26" s="68">
        <v>5467.0000000000009</v>
      </c>
      <c r="J26" s="68">
        <v>6.1400000000000006</v>
      </c>
      <c r="K26" s="116" t="s">
        <v>78</v>
      </c>
      <c r="L26" s="38"/>
      <c r="M26" s="38"/>
      <c r="O26" s="30"/>
      <c r="P26" s="30"/>
      <c r="Q26" s="30"/>
      <c r="Y26" s="30"/>
      <c r="Z26" s="16"/>
      <c r="AA26" s="30"/>
      <c r="AB26" s="16"/>
      <c r="AC26" s="16"/>
      <c r="AF26" s="30"/>
      <c r="AI26" s="16"/>
    </row>
    <row r="27" spans="1:35" ht="25.2">
      <c r="A27" s="62" t="s">
        <v>172</v>
      </c>
      <c r="B27" s="62" t="s">
        <v>94</v>
      </c>
      <c r="C27" s="63">
        <v>59999</v>
      </c>
      <c r="D27" s="64">
        <v>36666</v>
      </c>
      <c r="E27" s="64">
        <v>23499</v>
      </c>
      <c r="F27" s="65">
        <v>0</v>
      </c>
      <c r="G27" s="66">
        <v>24572.000000000004</v>
      </c>
      <c r="H27" s="67">
        <v>4.2783871850359425</v>
      </c>
      <c r="I27" s="68">
        <v>27042.000000000004</v>
      </c>
      <c r="J27" s="68">
        <v>4.1400000000000006</v>
      </c>
      <c r="K27" s="116" t="s">
        <v>81</v>
      </c>
      <c r="L27" s="38"/>
      <c r="M27" s="38"/>
      <c r="N27" s="9" t="s">
        <v>57</v>
      </c>
      <c r="O27" s="33"/>
      <c r="P27" s="34"/>
      <c r="Q27" s="18"/>
      <c r="W27" s="9" t="s">
        <v>57</v>
      </c>
      <c r="Y27" s="33" t="e">
        <v>#DIV/0!</v>
      </c>
      <c r="Z27" s="16"/>
      <c r="AA27" s="33" t="e">
        <v>#DIV/0!</v>
      </c>
      <c r="AB27" s="16"/>
      <c r="AC27" s="18"/>
      <c r="AF27" s="33"/>
      <c r="AG27" s="33"/>
      <c r="AI27" s="18"/>
    </row>
    <row r="28" spans="1:35" ht="25.2">
      <c r="A28" s="62" t="s">
        <v>242</v>
      </c>
      <c r="B28" s="62" t="s">
        <v>95</v>
      </c>
      <c r="C28" s="63">
        <v>1999</v>
      </c>
      <c r="D28" s="64">
        <v>15100</v>
      </c>
      <c r="E28" s="64">
        <v>1955</v>
      </c>
      <c r="F28" s="65">
        <v>0</v>
      </c>
      <c r="G28" s="66">
        <v>4100.0000000000009</v>
      </c>
      <c r="H28" s="67">
        <v>11.786447638603699</v>
      </c>
      <c r="I28" s="68">
        <v>4671.0000000000009</v>
      </c>
      <c r="J28" s="68">
        <v>3.5799999999999983</v>
      </c>
      <c r="K28" s="116" t="s">
        <v>73</v>
      </c>
      <c r="L28" s="38"/>
      <c r="M28" s="38"/>
    </row>
    <row r="29" spans="1:35" ht="25.2">
      <c r="A29" s="62" t="s">
        <v>173</v>
      </c>
      <c r="B29" s="62" t="s">
        <v>96</v>
      </c>
      <c r="C29" s="63">
        <v>18999</v>
      </c>
      <c r="D29" s="64">
        <v>17830</v>
      </c>
      <c r="E29" s="64">
        <v>6232</v>
      </c>
      <c r="F29" s="65">
        <v>0</v>
      </c>
      <c r="G29" s="67">
        <v>3818.0000000000005</v>
      </c>
      <c r="H29" s="67">
        <v>3.0961538461538467</v>
      </c>
      <c r="I29" s="68">
        <v>4076.0000000000005</v>
      </c>
      <c r="J29" s="68">
        <v>5.5499999999999972</v>
      </c>
      <c r="K29" s="116" t="s">
        <v>74</v>
      </c>
      <c r="L29" s="38"/>
      <c r="M29" s="38"/>
    </row>
    <row r="30" spans="1:35" ht="25.2">
      <c r="A30" s="55" t="s">
        <v>174</v>
      </c>
      <c r="B30" s="55" t="s">
        <v>97</v>
      </c>
      <c r="C30" s="56">
        <v>9999</v>
      </c>
      <c r="D30" s="57">
        <v>13500</v>
      </c>
      <c r="E30" s="57">
        <v>2702</v>
      </c>
      <c r="F30" s="58">
        <v>0</v>
      </c>
      <c r="G30" s="59">
        <v>693.00000000000011</v>
      </c>
      <c r="H30" s="60">
        <v>0.69718309859154937</v>
      </c>
      <c r="I30" s="61">
        <v>560.00000000000011</v>
      </c>
      <c r="J30" s="61">
        <v>3.6799999999999997</v>
      </c>
      <c r="K30" s="116" t="s">
        <v>80</v>
      </c>
      <c r="L30" s="38"/>
      <c r="M30" s="38"/>
    </row>
    <row r="31" spans="1:35" ht="25.2">
      <c r="A31" s="62" t="s">
        <v>243</v>
      </c>
      <c r="B31" s="62" t="s">
        <v>98</v>
      </c>
      <c r="C31" s="63">
        <v>11999</v>
      </c>
      <c r="D31" s="64">
        <v>13500</v>
      </c>
      <c r="E31" s="64">
        <v>3131</v>
      </c>
      <c r="F31" s="65">
        <v>11</v>
      </c>
      <c r="G31" s="66">
        <v>285.00000000000006</v>
      </c>
      <c r="H31" s="67">
        <v>0.30286928799149848</v>
      </c>
      <c r="I31" s="68">
        <v>2230.0000000000005</v>
      </c>
      <c r="J31" s="68">
        <v>5.990000000000002</v>
      </c>
      <c r="K31" s="116" t="s">
        <v>81</v>
      </c>
      <c r="L31" s="38"/>
      <c r="M31" s="38"/>
    </row>
    <row r="32" spans="1:35" ht="25.2">
      <c r="A32" s="62" t="s">
        <v>175</v>
      </c>
      <c r="B32" s="62" t="s">
        <v>99</v>
      </c>
      <c r="C32" s="63">
        <v>89999</v>
      </c>
      <c r="D32" s="64">
        <v>58330</v>
      </c>
      <c r="E32" s="64">
        <v>48532</v>
      </c>
      <c r="F32" s="65">
        <v>46</v>
      </c>
      <c r="G32" s="66">
        <v>3036.0000000000005</v>
      </c>
      <c r="H32" s="67">
        <v>0.36214300320359905</v>
      </c>
      <c r="I32" s="68">
        <v>67.000000000000014</v>
      </c>
      <c r="J32" s="68">
        <v>5</v>
      </c>
      <c r="K32" s="116" t="s">
        <v>75</v>
      </c>
      <c r="L32" s="38"/>
      <c r="M32" s="38"/>
    </row>
    <row r="33" spans="1:13" ht="25.2">
      <c r="A33" s="62" t="s">
        <v>212</v>
      </c>
      <c r="B33" s="62" t="s">
        <v>100</v>
      </c>
      <c r="C33" s="63">
        <v>89999</v>
      </c>
      <c r="D33" s="64">
        <v>58330</v>
      </c>
      <c r="E33" s="64">
        <v>48944</v>
      </c>
      <c r="F33" s="65">
        <v>44</v>
      </c>
      <c r="G33" s="66">
        <v>12790.000000000002</v>
      </c>
      <c r="H33" s="67">
        <v>1.5623691190841829</v>
      </c>
      <c r="I33" s="68">
        <v>350.00000000000006</v>
      </c>
      <c r="J33" s="68">
        <v>5</v>
      </c>
      <c r="K33" s="116" t="s">
        <v>75</v>
      </c>
      <c r="L33" s="38"/>
      <c r="M33" s="38"/>
    </row>
    <row r="34" spans="1:13" ht="25.2">
      <c r="A34" s="62" t="s">
        <v>244</v>
      </c>
      <c r="B34" s="62" t="s">
        <v>101</v>
      </c>
      <c r="C34" s="63">
        <v>16999</v>
      </c>
      <c r="D34" s="64">
        <v>11000</v>
      </c>
      <c r="E34" s="64">
        <v>1760</v>
      </c>
      <c r="F34" s="65">
        <v>0</v>
      </c>
      <c r="G34" s="66">
        <v>6302.0000000000009</v>
      </c>
      <c r="H34" s="67">
        <v>21.540039062500004</v>
      </c>
      <c r="I34" s="68">
        <v>6924.0000000000009</v>
      </c>
      <c r="J34" s="68">
        <v>6.1000000000000014</v>
      </c>
      <c r="K34" s="116" t="s">
        <v>76</v>
      </c>
      <c r="L34" s="38"/>
      <c r="M34" s="38"/>
    </row>
    <row r="35" spans="1:13" ht="25.2">
      <c r="A35" s="62" t="s">
        <v>176</v>
      </c>
      <c r="B35" s="62" t="s">
        <v>102</v>
      </c>
      <c r="C35" s="63">
        <v>14999</v>
      </c>
      <c r="D35" s="64">
        <v>10700</v>
      </c>
      <c r="E35" s="64">
        <v>3030</v>
      </c>
      <c r="F35" s="65">
        <v>1</v>
      </c>
      <c r="G35" s="66">
        <v>2195.0000000000005</v>
      </c>
      <c r="H35" s="67">
        <v>3.0377619612495064</v>
      </c>
      <c r="I35" s="68">
        <v>2017.0000000000002</v>
      </c>
      <c r="J35" s="68">
        <v>3</v>
      </c>
      <c r="K35" s="116" t="s">
        <v>77</v>
      </c>
      <c r="L35" s="38"/>
      <c r="M35" s="38"/>
    </row>
    <row r="36" spans="1:13" ht="25.2">
      <c r="A36" s="62" t="s">
        <v>177</v>
      </c>
      <c r="B36" s="62" t="s">
        <v>103</v>
      </c>
      <c r="C36" s="63">
        <v>99999</v>
      </c>
      <c r="D36" s="64">
        <v>50000</v>
      </c>
      <c r="E36" s="64">
        <v>43194</v>
      </c>
      <c r="F36" s="65">
        <v>0</v>
      </c>
      <c r="G36" s="66">
        <v>7259.0000000000009</v>
      </c>
      <c r="H36" s="67">
        <v>1.046180770022648</v>
      </c>
      <c r="I36" s="68">
        <v>10537.000000000002</v>
      </c>
      <c r="J36" s="68">
        <v>5.5799999999999983</v>
      </c>
      <c r="K36" s="116" t="s">
        <v>84</v>
      </c>
      <c r="L36" s="38"/>
      <c r="M36" s="38"/>
    </row>
    <row r="37" spans="1:13" ht="25.2">
      <c r="A37" s="62" t="s">
        <v>213</v>
      </c>
      <c r="B37" s="62" t="s">
        <v>104</v>
      </c>
      <c r="C37" s="63">
        <v>47999</v>
      </c>
      <c r="D37" s="64">
        <v>28460</v>
      </c>
      <c r="E37" s="64">
        <v>22075</v>
      </c>
      <c r="F37" s="65">
        <v>51</v>
      </c>
      <c r="G37" s="66">
        <v>2.0000000000000004</v>
      </c>
      <c r="H37" s="67">
        <v>4.8071970607423695E-4</v>
      </c>
      <c r="I37" s="68">
        <v>32.000000000000007</v>
      </c>
      <c r="J37" s="68">
        <v>4.990000000000002</v>
      </c>
      <c r="K37" s="116" t="s">
        <v>81</v>
      </c>
      <c r="L37" s="38"/>
      <c r="M37" s="38"/>
    </row>
    <row r="38" spans="1:13" ht="25.2">
      <c r="A38" s="62" t="s">
        <v>178</v>
      </c>
      <c r="B38" s="62" t="s">
        <v>105</v>
      </c>
      <c r="C38" s="63">
        <v>7999</v>
      </c>
      <c r="D38" s="64">
        <v>16466</v>
      </c>
      <c r="E38" s="64">
        <v>11201</v>
      </c>
      <c r="F38" s="65">
        <v>0</v>
      </c>
      <c r="G38" s="66">
        <v>7098.0000000000009</v>
      </c>
      <c r="H38" s="67">
        <v>3.7695167286245357</v>
      </c>
      <c r="I38" s="68">
        <v>8484.0000000000018</v>
      </c>
      <c r="J38" s="68">
        <v>4</v>
      </c>
      <c r="K38" s="116" t="s">
        <v>79</v>
      </c>
      <c r="L38" s="38"/>
      <c r="M38" s="38"/>
    </row>
    <row r="39" spans="1:13" ht="25.2">
      <c r="A39" s="62" t="s">
        <v>245</v>
      </c>
      <c r="B39" s="62" t="s">
        <v>106</v>
      </c>
      <c r="C39" s="63">
        <v>75999</v>
      </c>
      <c r="D39" s="64">
        <v>40000</v>
      </c>
      <c r="E39" s="64">
        <v>35041</v>
      </c>
      <c r="F39" s="65">
        <v>51</v>
      </c>
      <c r="G39" s="66">
        <v>16633.000000000004</v>
      </c>
      <c r="H39" s="67">
        <v>3.0723012375649792</v>
      </c>
      <c r="I39" s="68">
        <v>128.00000000000003</v>
      </c>
      <c r="J39" s="68">
        <v>4</v>
      </c>
      <c r="K39" s="116" t="s">
        <v>80</v>
      </c>
      <c r="L39" s="38"/>
      <c r="M39" s="38"/>
    </row>
    <row r="40" spans="1:13" ht="25.2">
      <c r="A40" s="62" t="s">
        <v>179</v>
      </c>
      <c r="B40" s="62" t="s">
        <v>107</v>
      </c>
      <c r="C40" s="63">
        <v>11999</v>
      </c>
      <c r="D40" s="64">
        <v>6300</v>
      </c>
      <c r="E40" s="64">
        <v>1501</v>
      </c>
      <c r="F40" s="65">
        <v>0</v>
      </c>
      <c r="G40" s="66">
        <v>2117.0000000000005</v>
      </c>
      <c r="H40" s="67">
        <v>7.1348098218584513</v>
      </c>
      <c r="I40" s="68">
        <v>2276.0000000000005</v>
      </c>
      <c r="J40" s="68">
        <v>5.5799999999999983</v>
      </c>
      <c r="K40" s="116" t="s">
        <v>81</v>
      </c>
      <c r="L40" s="38"/>
      <c r="M40" s="38"/>
    </row>
    <row r="41" spans="1:13" ht="25.2">
      <c r="A41" s="62" t="s">
        <v>214</v>
      </c>
      <c r="B41" s="62" t="s">
        <v>108</v>
      </c>
      <c r="C41" s="63">
        <v>46599</v>
      </c>
      <c r="D41" s="64">
        <v>8330</v>
      </c>
      <c r="E41" s="64">
        <v>4430</v>
      </c>
      <c r="F41" s="65">
        <v>0</v>
      </c>
      <c r="G41" s="66">
        <v>4985.0000000000009</v>
      </c>
      <c r="H41" s="67">
        <v>2.4619020742204039</v>
      </c>
      <c r="I41" s="68">
        <v>5787.0000000000009</v>
      </c>
      <c r="J41" s="68">
        <v>6.1400000000000006</v>
      </c>
      <c r="K41" s="116" t="s">
        <v>75</v>
      </c>
      <c r="L41" s="38"/>
      <c r="M41" s="38"/>
    </row>
    <row r="42" spans="1:13" ht="25.2">
      <c r="A42" s="62" t="s">
        <v>215</v>
      </c>
      <c r="B42" s="62" t="s">
        <v>109</v>
      </c>
      <c r="C42" s="63">
        <v>17599</v>
      </c>
      <c r="D42" s="64">
        <v>11110</v>
      </c>
      <c r="E42" s="64">
        <v>7333</v>
      </c>
      <c r="F42" s="65">
        <v>6</v>
      </c>
      <c r="G42" s="66">
        <v>3134.0000000000005</v>
      </c>
      <c r="H42" s="67">
        <v>1.7730542309868262</v>
      </c>
      <c r="I42" s="68">
        <v>3928.0000000000005</v>
      </c>
      <c r="J42" s="68">
        <v>6.8900000000000006</v>
      </c>
      <c r="K42" s="116" t="s">
        <v>76</v>
      </c>
      <c r="L42" s="38"/>
      <c r="M42" s="38"/>
    </row>
    <row r="43" spans="1:13" ht="25.2">
      <c r="A43" s="62" t="s">
        <v>180</v>
      </c>
      <c r="B43" s="62" t="s">
        <v>110</v>
      </c>
      <c r="C43" s="63">
        <v>4999</v>
      </c>
      <c r="D43" s="64">
        <v>14000</v>
      </c>
      <c r="E43" s="64">
        <v>10246</v>
      </c>
      <c r="F43" s="65">
        <v>0</v>
      </c>
      <c r="G43" s="66">
        <v>20097.000000000004</v>
      </c>
      <c r="H43" s="67">
        <v>4.9374912256071886</v>
      </c>
      <c r="I43" s="68">
        <v>11632.000000000002</v>
      </c>
      <c r="J43" s="68">
        <v>5.6499999999999986</v>
      </c>
      <c r="K43" s="116" t="s">
        <v>77</v>
      </c>
      <c r="L43" s="38"/>
      <c r="M43" s="38"/>
    </row>
    <row r="44" spans="1:13" ht="25.2">
      <c r="A44" s="62" t="s">
        <v>216</v>
      </c>
      <c r="B44" s="62" t="s">
        <v>111</v>
      </c>
      <c r="C44" s="63">
        <v>15999</v>
      </c>
      <c r="D44" s="64">
        <v>8250</v>
      </c>
      <c r="E44" s="64">
        <v>4783</v>
      </c>
      <c r="F44" s="65">
        <v>37</v>
      </c>
      <c r="G44" s="66">
        <v>2633.0000000000005</v>
      </c>
      <c r="H44" s="67">
        <v>2.731327800829876</v>
      </c>
      <c r="I44" s="68">
        <v>4273.0000000000009</v>
      </c>
      <c r="J44" s="68">
        <v>7</v>
      </c>
      <c r="K44" s="116" t="s">
        <v>78</v>
      </c>
      <c r="L44" s="38"/>
      <c r="M44" s="38"/>
    </row>
    <row r="45" spans="1:13" ht="25.2">
      <c r="A45" s="62" t="s">
        <v>181</v>
      </c>
      <c r="B45" s="62" t="s">
        <v>112</v>
      </c>
      <c r="C45" s="63">
        <v>39999</v>
      </c>
      <c r="D45" s="64">
        <v>17900</v>
      </c>
      <c r="E45" s="64">
        <v>14611</v>
      </c>
      <c r="F45" s="65">
        <v>97</v>
      </c>
      <c r="G45" s="66">
        <v>2177.0000000000005</v>
      </c>
      <c r="H45" s="67">
        <v>0.90605862417504035</v>
      </c>
      <c r="I45" s="68">
        <v>1500.0000000000002</v>
      </c>
      <c r="J45" s="68">
        <v>6.1199999999999974</v>
      </c>
      <c r="K45" s="116" t="s">
        <v>81</v>
      </c>
      <c r="L45" s="38"/>
      <c r="M45" s="38"/>
    </row>
    <row r="46" spans="1:13" ht="25.2">
      <c r="A46" s="62" t="s">
        <v>217</v>
      </c>
      <c r="B46" s="62" t="s">
        <v>113</v>
      </c>
      <c r="C46" s="63">
        <v>99999</v>
      </c>
      <c r="D46" s="64">
        <v>122000</v>
      </c>
      <c r="E46" s="64">
        <v>118776</v>
      </c>
      <c r="F46" s="65">
        <v>183</v>
      </c>
      <c r="G46" s="66">
        <v>6520.0000000000009</v>
      </c>
      <c r="H46" s="67">
        <v>0.23755985842181973</v>
      </c>
      <c r="I46" s="68">
        <v>416.00000000000006</v>
      </c>
      <c r="J46" s="68">
        <v>5</v>
      </c>
      <c r="K46" s="116" t="s">
        <v>77</v>
      </c>
      <c r="L46" s="38"/>
      <c r="M46" s="38"/>
    </row>
    <row r="47" spans="1:13" ht="25.2">
      <c r="A47" s="62" t="s">
        <v>182</v>
      </c>
      <c r="B47" s="62" t="s">
        <v>114</v>
      </c>
      <c r="C47" s="63">
        <v>7999</v>
      </c>
      <c r="D47" s="64">
        <v>4100</v>
      </c>
      <c r="E47" s="64">
        <v>1439</v>
      </c>
      <c r="F47" s="65">
        <v>0</v>
      </c>
      <c r="G47" s="66">
        <v>2253.0000000000005</v>
      </c>
      <c r="H47" s="67">
        <v>2.6425938337801615</v>
      </c>
      <c r="I47" s="68">
        <v>2948.0000000000005</v>
      </c>
      <c r="J47" s="68">
        <v>6.8999999999999986</v>
      </c>
      <c r="K47" s="116" t="s">
        <v>77</v>
      </c>
      <c r="L47" s="38"/>
      <c r="M47" s="38"/>
    </row>
    <row r="48" spans="1:13" ht="25.2">
      <c r="A48" s="62" t="s">
        <v>218</v>
      </c>
      <c r="B48" s="62" t="s">
        <v>115</v>
      </c>
      <c r="C48" s="63">
        <v>10999</v>
      </c>
      <c r="D48" s="64">
        <v>6770</v>
      </c>
      <c r="E48" s="64">
        <v>4134</v>
      </c>
      <c r="F48" s="65">
        <v>0</v>
      </c>
      <c r="G48" s="66">
        <v>1692.0000000000002</v>
      </c>
      <c r="H48" s="67">
        <v>0.90730810479546509</v>
      </c>
      <c r="I48" s="68">
        <v>1417.0000000000002</v>
      </c>
      <c r="J48" s="68">
        <v>7</v>
      </c>
      <c r="K48" s="116" t="s">
        <v>73</v>
      </c>
      <c r="L48" s="38"/>
      <c r="M48" s="38"/>
    </row>
    <row r="49" spans="1:13" ht="25.2">
      <c r="A49" s="62" t="s">
        <v>219</v>
      </c>
      <c r="B49" s="62" t="s">
        <v>116</v>
      </c>
      <c r="C49" s="63">
        <v>6999</v>
      </c>
      <c r="D49" s="64">
        <v>3490</v>
      </c>
      <c r="E49" s="64">
        <v>1010</v>
      </c>
      <c r="F49" s="65">
        <v>0</v>
      </c>
      <c r="G49" s="66">
        <v>864.00000000000011</v>
      </c>
      <c r="H49" s="67">
        <v>1.7250427837992017</v>
      </c>
      <c r="I49" s="68">
        <v>874.00000000000011</v>
      </c>
      <c r="J49" s="68">
        <v>5.5799999999999983</v>
      </c>
      <c r="K49" s="116" t="s">
        <v>82</v>
      </c>
      <c r="L49" s="38"/>
      <c r="M49" s="38"/>
    </row>
    <row r="50" spans="1:13" ht="25.2">
      <c r="A50" s="62" t="s">
        <v>183</v>
      </c>
      <c r="B50" s="62" t="s">
        <v>117</v>
      </c>
      <c r="C50" s="63">
        <v>46599</v>
      </c>
      <c r="D50" s="64">
        <v>26750</v>
      </c>
      <c r="E50" s="64">
        <v>24495</v>
      </c>
      <c r="F50" s="65">
        <v>0</v>
      </c>
      <c r="G50" s="66">
        <v>7668.0000000000009</v>
      </c>
      <c r="H50" s="67">
        <v>1.2672285572632624</v>
      </c>
      <c r="I50" s="68">
        <v>13023.000000000002</v>
      </c>
      <c r="J50" s="68">
        <v>4.8599999999999994</v>
      </c>
      <c r="K50" s="116" t="s">
        <v>81</v>
      </c>
      <c r="L50" s="38"/>
      <c r="M50" s="38"/>
    </row>
    <row r="51" spans="1:13" ht="25.2">
      <c r="A51" s="62" t="s">
        <v>184</v>
      </c>
      <c r="B51" s="62" t="s">
        <v>118</v>
      </c>
      <c r="C51" s="63">
        <v>9</v>
      </c>
      <c r="D51" s="64">
        <v>38000</v>
      </c>
      <c r="E51" s="64">
        <v>35888</v>
      </c>
      <c r="F51" s="65">
        <v>0</v>
      </c>
      <c r="G51" s="66">
        <v>18385.000000000004</v>
      </c>
      <c r="H51" s="67">
        <v>3.1188202791779762</v>
      </c>
      <c r="I51" s="68">
        <v>21868.000000000004</v>
      </c>
      <c r="J51" s="68">
        <v>3</v>
      </c>
      <c r="K51" s="116" t="s">
        <v>83</v>
      </c>
      <c r="L51" s="38"/>
      <c r="M51" s="38"/>
    </row>
    <row r="52" spans="1:13" ht="25.2">
      <c r="A52" s="62" t="s">
        <v>220</v>
      </c>
      <c r="B52" s="62" t="s">
        <v>119</v>
      </c>
      <c r="C52" s="63">
        <v>6599</v>
      </c>
      <c r="D52" s="64">
        <v>4000</v>
      </c>
      <c r="E52" s="64">
        <v>1889</v>
      </c>
      <c r="F52" s="65">
        <v>159</v>
      </c>
      <c r="G52" s="66">
        <v>2935.0000000000005</v>
      </c>
      <c r="H52" s="67">
        <v>2.5911212006558206</v>
      </c>
      <c r="I52" s="68">
        <v>0</v>
      </c>
      <c r="J52" s="68">
        <v>5.1199999999999974</v>
      </c>
      <c r="K52" s="116" t="s">
        <v>83</v>
      </c>
      <c r="L52" s="38"/>
      <c r="M52" s="38"/>
    </row>
    <row r="53" spans="1:13" ht="25.2">
      <c r="A53" s="62" t="s">
        <v>185</v>
      </c>
      <c r="B53" s="62" t="s">
        <v>120</v>
      </c>
      <c r="C53" s="63">
        <v>10999</v>
      </c>
      <c r="D53" s="64">
        <v>6800</v>
      </c>
      <c r="E53" s="64">
        <v>5069</v>
      </c>
      <c r="F53" s="65">
        <v>0</v>
      </c>
      <c r="G53" s="66">
        <v>968.00000000000011</v>
      </c>
      <c r="H53" s="67">
        <v>1.3367528112053662</v>
      </c>
      <c r="I53" s="68">
        <v>2020.0000000000002</v>
      </c>
      <c r="J53" s="68">
        <v>3.5499999999999972</v>
      </c>
      <c r="K53" s="116" t="s">
        <v>84</v>
      </c>
      <c r="L53" s="38"/>
      <c r="M53" s="38"/>
    </row>
    <row r="54" spans="1:13" ht="25.2">
      <c r="A54" s="62" t="s">
        <v>221</v>
      </c>
      <c r="B54" s="62" t="s">
        <v>121</v>
      </c>
      <c r="C54" s="63">
        <v>7999</v>
      </c>
      <c r="D54" s="64">
        <v>4400</v>
      </c>
      <c r="E54" s="64">
        <v>2902</v>
      </c>
      <c r="F54" s="65">
        <v>3</v>
      </c>
      <c r="G54" s="67">
        <v>2121.0000000000005</v>
      </c>
      <c r="H54" s="67">
        <v>5.1161268090971754</v>
      </c>
      <c r="I54" s="68">
        <v>1023.0000000000001</v>
      </c>
      <c r="J54" s="68">
        <v>4.6099999999999994</v>
      </c>
      <c r="K54" s="116" t="s">
        <v>83</v>
      </c>
      <c r="L54" s="38"/>
      <c r="M54" s="38"/>
    </row>
    <row r="55" spans="1:13" ht="25.2">
      <c r="A55" s="62" t="s">
        <v>222</v>
      </c>
      <c r="B55" s="62" t="s">
        <v>122</v>
      </c>
      <c r="C55" s="63">
        <v>7999</v>
      </c>
      <c r="D55" s="64">
        <v>4000</v>
      </c>
      <c r="E55" s="64">
        <v>2561</v>
      </c>
      <c r="F55" s="65">
        <v>0</v>
      </c>
      <c r="G55" s="66">
        <v>1000.0000000000001</v>
      </c>
      <c r="H55" s="67">
        <v>2.7333073018352212</v>
      </c>
      <c r="I55" s="68">
        <v>1594.0000000000002</v>
      </c>
      <c r="J55" s="68">
        <v>4.68</v>
      </c>
      <c r="K55" s="116" t="s">
        <v>83</v>
      </c>
      <c r="L55" s="38"/>
      <c r="M55" s="38"/>
    </row>
    <row r="56" spans="1:13" ht="25.2">
      <c r="A56" s="62" t="s">
        <v>186</v>
      </c>
      <c r="B56" s="62" t="s">
        <v>123</v>
      </c>
      <c r="C56" s="63">
        <v>4999</v>
      </c>
      <c r="D56" s="64">
        <v>2400</v>
      </c>
      <c r="E56" s="64">
        <v>1132</v>
      </c>
      <c r="F56" s="65">
        <v>0</v>
      </c>
      <c r="G56" s="67">
        <v>2026.0000000000005</v>
      </c>
      <c r="H56" s="67">
        <v>12.528268551236751</v>
      </c>
      <c r="I56" s="68">
        <v>2217.0000000000005</v>
      </c>
      <c r="J56" s="68">
        <v>3.5799999999999983</v>
      </c>
      <c r="K56" s="116" t="s">
        <v>85</v>
      </c>
      <c r="L56" s="38"/>
      <c r="M56" s="38"/>
    </row>
    <row r="57" spans="1:13" ht="25.2">
      <c r="A57" s="62" t="s">
        <v>223</v>
      </c>
      <c r="B57" s="62" t="s">
        <v>124</v>
      </c>
      <c r="C57" s="63">
        <v>18999</v>
      </c>
      <c r="D57" s="64">
        <v>11500</v>
      </c>
      <c r="E57" s="64">
        <v>10596</v>
      </c>
      <c r="F57" s="65">
        <v>0</v>
      </c>
      <c r="G57" s="66">
        <v>4817.0000000000009</v>
      </c>
      <c r="H57" s="67">
        <v>1.442462354551677</v>
      </c>
      <c r="I57" s="68">
        <v>8060.0000000000009</v>
      </c>
      <c r="J57" s="68">
        <v>3.3599999999999994</v>
      </c>
      <c r="K57" s="116" t="s">
        <v>86</v>
      </c>
      <c r="L57" s="38"/>
      <c r="M57" s="38"/>
    </row>
    <row r="58" spans="1:13" ht="25.2">
      <c r="A58" s="62" t="s">
        <v>187</v>
      </c>
      <c r="B58" s="62" t="s">
        <v>125</v>
      </c>
      <c r="C58" s="63">
        <v>17899.896000000001</v>
      </c>
      <c r="D58" s="64">
        <v>8699.8960000000006</v>
      </c>
      <c r="E58" s="64">
        <v>8607</v>
      </c>
      <c r="F58" s="65">
        <v>28</v>
      </c>
      <c r="G58" s="66">
        <v>840.00000000000011</v>
      </c>
      <c r="H58" s="67">
        <v>0.42433427148733494</v>
      </c>
      <c r="I58" s="68">
        <v>1589.0000000000002</v>
      </c>
      <c r="J58" s="68">
        <v>5.5499999999999972</v>
      </c>
      <c r="K58" s="116" t="s">
        <v>81</v>
      </c>
      <c r="L58" s="38"/>
      <c r="M58" s="38"/>
    </row>
    <row r="59" spans="1:13" ht="16.8" hidden="1" customHeight="1">
      <c r="A59" s="62" t="s">
        <v>224</v>
      </c>
      <c r="B59" s="62" t="s">
        <v>126</v>
      </c>
      <c r="C59" s="63">
        <v>9</v>
      </c>
      <c r="D59" s="64">
        <v>0</v>
      </c>
      <c r="E59" s="64">
        <v>0</v>
      </c>
      <c r="F59" s="65">
        <v>0</v>
      </c>
      <c r="G59" s="66">
        <v>0</v>
      </c>
      <c r="H59" s="67">
        <v>0</v>
      </c>
      <c r="I59" s="68">
        <v>0</v>
      </c>
      <c r="J59" s="68">
        <v>5.3299999999999983</v>
      </c>
      <c r="K59" s="116" t="s">
        <v>87</v>
      </c>
      <c r="L59" s="38"/>
      <c r="M59" s="38"/>
    </row>
    <row r="60" spans="1:13" ht="16.8" hidden="1" customHeight="1">
      <c r="A60" s="62" t="s">
        <v>225</v>
      </c>
      <c r="B60" s="62" t="s">
        <v>127</v>
      </c>
      <c r="C60" s="63">
        <v>9</v>
      </c>
      <c r="D60" s="64">
        <v>0</v>
      </c>
      <c r="E60" s="64">
        <v>0</v>
      </c>
      <c r="F60" s="65">
        <v>0</v>
      </c>
      <c r="G60" s="66">
        <v>0</v>
      </c>
      <c r="H60" s="67">
        <v>0</v>
      </c>
      <c r="I60" s="68">
        <v>0</v>
      </c>
      <c r="J60" s="68">
        <v>5.6499999999999986</v>
      </c>
      <c r="K60" s="116">
        <v>8.0504899999999904E+16</v>
      </c>
      <c r="L60" s="38"/>
      <c r="M60" s="38"/>
    </row>
    <row r="61" spans="1:13" ht="16.8" hidden="1" customHeight="1">
      <c r="A61" s="62" t="s">
        <v>188</v>
      </c>
      <c r="B61" s="62" t="s">
        <v>128</v>
      </c>
      <c r="C61" s="63">
        <v>9</v>
      </c>
      <c r="D61" s="64">
        <v>0</v>
      </c>
      <c r="E61" s="64">
        <v>0</v>
      </c>
      <c r="F61" s="65">
        <v>0</v>
      </c>
      <c r="G61" s="67">
        <v>0</v>
      </c>
      <c r="H61" s="67">
        <v>0</v>
      </c>
      <c r="I61" s="68">
        <v>0</v>
      </c>
      <c r="J61" s="68">
        <v>6</v>
      </c>
      <c r="K61" s="116">
        <v>0</v>
      </c>
      <c r="L61" s="38"/>
      <c r="M61" s="38"/>
    </row>
    <row r="62" spans="1:13" ht="16.8" hidden="1" customHeight="1">
      <c r="A62" s="62" t="s">
        <v>226</v>
      </c>
      <c r="B62" s="62" t="s">
        <v>129</v>
      </c>
      <c r="C62" s="63">
        <v>9</v>
      </c>
      <c r="D62" s="64">
        <v>0</v>
      </c>
      <c r="E62" s="64">
        <v>0</v>
      </c>
      <c r="F62" s="65">
        <v>0</v>
      </c>
      <c r="G62" s="67">
        <v>0</v>
      </c>
      <c r="H62" s="67">
        <v>0</v>
      </c>
      <c r="I62" s="68">
        <v>0</v>
      </c>
      <c r="J62" s="68">
        <v>6</v>
      </c>
      <c r="K62" s="116">
        <v>0</v>
      </c>
      <c r="L62" s="38"/>
      <c r="M62" s="38"/>
    </row>
    <row r="63" spans="1:13" ht="16.8" hidden="1" customHeight="1">
      <c r="A63" s="62" t="s">
        <v>227</v>
      </c>
      <c r="B63" s="62" t="s">
        <v>130</v>
      </c>
      <c r="C63" s="63">
        <v>9</v>
      </c>
      <c r="D63" s="64">
        <v>0</v>
      </c>
      <c r="E63" s="64">
        <v>0</v>
      </c>
      <c r="F63" s="65">
        <v>0</v>
      </c>
      <c r="G63" s="67">
        <v>0</v>
      </c>
      <c r="H63" s="67">
        <v>0</v>
      </c>
      <c r="I63" s="68">
        <v>0</v>
      </c>
      <c r="J63" s="68">
        <v>6.5799999999999983</v>
      </c>
      <c r="K63" s="116">
        <v>0</v>
      </c>
      <c r="L63" s="38"/>
      <c r="M63" s="38"/>
    </row>
    <row r="64" spans="1:13" ht="16.8" hidden="1" customHeight="1">
      <c r="A64" s="62" t="s">
        <v>189</v>
      </c>
      <c r="B64" s="62" t="s">
        <v>131</v>
      </c>
      <c r="C64" s="63">
        <v>9</v>
      </c>
      <c r="D64" s="64">
        <v>0</v>
      </c>
      <c r="E64" s="64">
        <v>0</v>
      </c>
      <c r="F64" s="65">
        <v>0</v>
      </c>
      <c r="G64" s="67">
        <v>0</v>
      </c>
      <c r="H64" s="67">
        <v>0</v>
      </c>
      <c r="I64" s="68">
        <v>0</v>
      </c>
      <c r="J64" s="68">
        <v>6.84</v>
      </c>
      <c r="K64" s="116">
        <v>0</v>
      </c>
      <c r="L64" s="38"/>
      <c r="M64" s="38"/>
    </row>
    <row r="65" spans="1:13" ht="16.8" hidden="1" customHeight="1">
      <c r="A65" s="62" t="s">
        <v>246</v>
      </c>
      <c r="B65" s="62" t="s">
        <v>132</v>
      </c>
      <c r="C65" s="63">
        <v>9</v>
      </c>
      <c r="D65" s="64">
        <v>0</v>
      </c>
      <c r="E65" s="64">
        <v>0</v>
      </c>
      <c r="F65" s="65">
        <v>0</v>
      </c>
      <c r="G65" s="67">
        <v>0</v>
      </c>
      <c r="H65" s="67">
        <v>0</v>
      </c>
      <c r="I65" s="68">
        <v>0</v>
      </c>
      <c r="J65" s="68">
        <v>3.6799999999999997</v>
      </c>
      <c r="K65" s="116">
        <v>0</v>
      </c>
      <c r="L65" s="38"/>
      <c r="M65" s="38"/>
    </row>
    <row r="66" spans="1:13" ht="16.8" hidden="1" customHeight="1">
      <c r="A66" s="62" t="s">
        <v>247</v>
      </c>
      <c r="B66" s="62" t="s">
        <v>133</v>
      </c>
      <c r="C66" s="63">
        <v>9</v>
      </c>
      <c r="D66" s="64">
        <v>0</v>
      </c>
      <c r="E66" s="64">
        <v>0</v>
      </c>
      <c r="F66" s="65">
        <v>0</v>
      </c>
      <c r="G66" s="66">
        <v>0</v>
      </c>
      <c r="H66" s="67">
        <v>0</v>
      </c>
      <c r="I66" s="68">
        <v>0</v>
      </c>
      <c r="J66" s="68">
        <v>4.5799999999999983</v>
      </c>
      <c r="K66" s="116">
        <v>0</v>
      </c>
      <c r="L66" s="38"/>
      <c r="M66" s="38"/>
    </row>
    <row r="67" spans="1:13" ht="16.8" hidden="1" customHeight="1">
      <c r="A67" s="62" t="s">
        <v>228</v>
      </c>
      <c r="B67" s="62" t="s">
        <v>134</v>
      </c>
      <c r="C67" s="63">
        <v>9</v>
      </c>
      <c r="D67" s="64">
        <v>0</v>
      </c>
      <c r="E67" s="64">
        <v>0</v>
      </c>
      <c r="F67" s="65">
        <v>0</v>
      </c>
      <c r="G67" s="66">
        <v>0</v>
      </c>
      <c r="H67" s="67">
        <v>0</v>
      </c>
      <c r="I67" s="68">
        <v>0</v>
      </c>
      <c r="J67" s="68">
        <v>5.990000000000002</v>
      </c>
      <c r="K67" s="116">
        <v>0</v>
      </c>
      <c r="L67" s="38"/>
      <c r="M67" s="38"/>
    </row>
    <row r="68" spans="1:13" ht="16.8" hidden="1" customHeight="1">
      <c r="A68" s="62" t="s">
        <v>190</v>
      </c>
      <c r="B68" s="62" t="s">
        <v>135</v>
      </c>
      <c r="C68" s="63">
        <v>9</v>
      </c>
      <c r="D68" s="64">
        <v>0</v>
      </c>
      <c r="E68" s="64">
        <v>0</v>
      </c>
      <c r="F68" s="65">
        <v>0</v>
      </c>
      <c r="G68" s="66">
        <v>0</v>
      </c>
      <c r="H68" s="67">
        <v>0</v>
      </c>
      <c r="I68" s="68">
        <v>0</v>
      </c>
      <c r="J68" s="68">
        <v>3</v>
      </c>
      <c r="K68" s="116">
        <v>0</v>
      </c>
      <c r="L68" s="38"/>
      <c r="M68" s="38"/>
    </row>
    <row r="69" spans="1:13" ht="16.8" hidden="1" customHeight="1">
      <c r="A69" s="62" t="s">
        <v>229</v>
      </c>
      <c r="B69" s="62" t="s">
        <v>136</v>
      </c>
      <c r="C69" s="63">
        <v>9</v>
      </c>
      <c r="D69" s="64">
        <v>0</v>
      </c>
      <c r="E69" s="64">
        <v>0</v>
      </c>
      <c r="F69" s="65">
        <v>0</v>
      </c>
      <c r="G69" s="66">
        <v>0</v>
      </c>
      <c r="H69" s="67">
        <v>0</v>
      </c>
      <c r="I69" s="68">
        <v>0</v>
      </c>
      <c r="J69" s="68">
        <v>4.1199999999999974</v>
      </c>
      <c r="K69" s="116">
        <v>0</v>
      </c>
      <c r="L69" s="38"/>
      <c r="M69" s="38"/>
    </row>
    <row r="70" spans="1:13" ht="16.8" hidden="1" customHeight="1">
      <c r="A70" s="62" t="s">
        <v>248</v>
      </c>
      <c r="B70" s="62" t="s">
        <v>137</v>
      </c>
      <c r="C70" s="63">
        <v>9</v>
      </c>
      <c r="D70" s="64">
        <v>0</v>
      </c>
      <c r="E70" s="64">
        <v>0</v>
      </c>
      <c r="F70" s="65">
        <v>0</v>
      </c>
      <c r="G70" s="66">
        <v>0</v>
      </c>
      <c r="H70" s="67">
        <v>0</v>
      </c>
      <c r="I70" s="68">
        <v>0</v>
      </c>
      <c r="J70" s="68">
        <v>6.5799999999999983</v>
      </c>
      <c r="K70" s="116">
        <v>0</v>
      </c>
      <c r="L70" s="38"/>
      <c r="M70" s="38"/>
    </row>
    <row r="71" spans="1:13" ht="16.8" hidden="1" customHeight="1">
      <c r="A71" s="62" t="s">
        <v>249</v>
      </c>
      <c r="B71" s="62" t="s">
        <v>138</v>
      </c>
      <c r="C71" s="63">
        <v>9</v>
      </c>
      <c r="D71" s="64">
        <v>0</v>
      </c>
      <c r="E71" s="64">
        <v>0</v>
      </c>
      <c r="F71" s="65">
        <v>0</v>
      </c>
      <c r="G71" s="66">
        <v>0</v>
      </c>
      <c r="H71" s="67">
        <v>0</v>
      </c>
      <c r="I71" s="68">
        <v>0</v>
      </c>
      <c r="J71" s="68">
        <v>5.1199999999999974</v>
      </c>
      <c r="K71" s="116">
        <v>0</v>
      </c>
      <c r="L71" s="38"/>
      <c r="M71" s="38"/>
    </row>
    <row r="72" spans="1:13" ht="16.8" hidden="1" customHeight="1">
      <c r="A72" s="62" t="s">
        <v>230</v>
      </c>
      <c r="B72" s="62" t="s">
        <v>139</v>
      </c>
      <c r="C72" s="63">
        <v>9</v>
      </c>
      <c r="D72" s="64">
        <v>0</v>
      </c>
      <c r="E72" s="64">
        <v>0</v>
      </c>
      <c r="F72" s="65">
        <v>0</v>
      </c>
      <c r="G72" s="66">
        <v>0</v>
      </c>
      <c r="H72" s="67">
        <v>0</v>
      </c>
      <c r="I72" s="68">
        <v>0</v>
      </c>
      <c r="J72" s="68">
        <v>4.6099999999999994</v>
      </c>
      <c r="K72" s="116">
        <v>0</v>
      </c>
      <c r="L72" s="38"/>
      <c r="M72" s="38"/>
    </row>
    <row r="73" spans="1:13" ht="16.8" hidden="1" customHeight="1">
      <c r="A73" s="62" t="s">
        <v>191</v>
      </c>
      <c r="B73" s="62" t="s">
        <v>140</v>
      </c>
      <c r="C73" s="63">
        <v>9</v>
      </c>
      <c r="D73" s="64">
        <v>0</v>
      </c>
      <c r="E73" s="64">
        <v>0</v>
      </c>
      <c r="F73" s="65">
        <v>0</v>
      </c>
      <c r="G73" s="66">
        <v>0</v>
      </c>
      <c r="H73" s="67">
        <v>0</v>
      </c>
      <c r="I73" s="68">
        <v>0</v>
      </c>
      <c r="J73" s="68">
        <v>3.6499999999999986</v>
      </c>
      <c r="K73" s="116">
        <v>0</v>
      </c>
      <c r="L73" s="38"/>
      <c r="M73" s="38"/>
    </row>
    <row r="74" spans="1:13" ht="16.8" hidden="1" customHeight="1">
      <c r="A74" s="62" t="s">
        <v>250</v>
      </c>
      <c r="B74" s="62" t="s">
        <v>141</v>
      </c>
      <c r="C74" s="63">
        <v>9</v>
      </c>
      <c r="D74" s="64">
        <v>0</v>
      </c>
      <c r="E74" s="64">
        <v>0</v>
      </c>
      <c r="F74" s="65">
        <v>0</v>
      </c>
      <c r="G74" s="67">
        <v>0</v>
      </c>
      <c r="H74" s="67">
        <v>0</v>
      </c>
      <c r="I74" s="68">
        <v>0</v>
      </c>
      <c r="J74" s="68">
        <v>6.1400000000000006</v>
      </c>
      <c r="K74" s="116">
        <v>0</v>
      </c>
      <c r="L74" s="38"/>
      <c r="M74" s="38"/>
    </row>
    <row r="75" spans="1:13" ht="16.8" hidden="1" customHeight="1">
      <c r="A75" s="62" t="s">
        <v>231</v>
      </c>
      <c r="B75" s="62" t="s">
        <v>142</v>
      </c>
      <c r="C75" s="63">
        <v>9</v>
      </c>
      <c r="D75" s="64">
        <v>0</v>
      </c>
      <c r="E75" s="64">
        <v>0</v>
      </c>
      <c r="F75" s="65">
        <v>0</v>
      </c>
      <c r="G75" s="66">
        <v>0</v>
      </c>
      <c r="H75" s="67">
        <v>0</v>
      </c>
      <c r="I75" s="68">
        <v>0</v>
      </c>
      <c r="J75" s="68">
        <v>3.3599999999999994</v>
      </c>
      <c r="K75" s="116">
        <v>0</v>
      </c>
      <c r="L75" s="38"/>
      <c r="M75" s="38"/>
    </row>
    <row r="76" spans="1:13" ht="16.8" hidden="1" customHeight="1">
      <c r="A76" s="62" t="s">
        <v>251</v>
      </c>
      <c r="B76" s="62" t="s">
        <v>143</v>
      </c>
      <c r="C76" s="63">
        <v>9</v>
      </c>
      <c r="D76" s="64">
        <v>0</v>
      </c>
      <c r="E76" s="64">
        <v>0</v>
      </c>
      <c r="F76" s="65">
        <v>0</v>
      </c>
      <c r="G76" s="66">
        <v>0</v>
      </c>
      <c r="H76" s="67">
        <v>0</v>
      </c>
      <c r="I76" s="68">
        <v>0</v>
      </c>
      <c r="J76" s="68">
        <v>6.2000000000000028</v>
      </c>
      <c r="K76" s="116">
        <v>0</v>
      </c>
      <c r="L76" s="38"/>
      <c r="M76" s="38"/>
    </row>
    <row r="77" spans="1:13" ht="16.8" hidden="1" customHeight="1">
      <c r="A77" s="62" t="s">
        <v>252</v>
      </c>
      <c r="B77" s="62" t="s">
        <v>144</v>
      </c>
      <c r="C77" s="63">
        <v>9</v>
      </c>
      <c r="D77" s="64">
        <v>0</v>
      </c>
      <c r="E77" s="64">
        <v>0</v>
      </c>
      <c r="F77" s="65">
        <v>0</v>
      </c>
      <c r="G77" s="66">
        <v>4330.0000000000009</v>
      </c>
      <c r="H77" s="67">
        <v>2.769554093567252</v>
      </c>
      <c r="I77" s="68">
        <v>2359.0000000000005</v>
      </c>
      <c r="J77" s="68"/>
      <c r="K77" s="116">
        <v>0</v>
      </c>
      <c r="L77" s="38"/>
      <c r="M77" s="38"/>
    </row>
    <row r="78" spans="1:13" ht="16.8" hidden="1" customHeight="1">
      <c r="A78" s="62" t="s">
        <v>253</v>
      </c>
      <c r="B78" s="62" t="s">
        <v>145</v>
      </c>
      <c r="C78" s="63">
        <v>9</v>
      </c>
      <c r="D78" s="64">
        <v>0</v>
      </c>
      <c r="E78" s="64">
        <v>4</v>
      </c>
      <c r="F78" s="65">
        <v>153</v>
      </c>
      <c r="G78" s="66">
        <v>1354.0000000000002</v>
      </c>
      <c r="H78" s="67">
        <v>9.8626430801248723</v>
      </c>
      <c r="I78" s="68">
        <v>1354.0000000000002</v>
      </c>
      <c r="J78" s="68"/>
      <c r="K78" s="116">
        <v>0</v>
      </c>
      <c r="L78" s="38"/>
      <c r="M78" s="38"/>
    </row>
    <row r="79" spans="1:13" ht="16.8" hidden="1" customHeight="1">
      <c r="A79" s="62" t="s">
        <v>232</v>
      </c>
      <c r="B79" s="62" t="s">
        <v>146</v>
      </c>
      <c r="C79" s="63">
        <v>9</v>
      </c>
      <c r="D79" s="64">
        <v>0</v>
      </c>
      <c r="E79" s="64">
        <v>14</v>
      </c>
      <c r="F79" s="65">
        <v>0</v>
      </c>
      <c r="G79" s="66">
        <v>4264.0000000000009</v>
      </c>
      <c r="H79" s="67">
        <v>5.1250000000000009</v>
      </c>
      <c r="I79" s="68">
        <v>1534.0000000000002</v>
      </c>
      <c r="J79" s="68">
        <v>7</v>
      </c>
      <c r="K79" s="116">
        <v>0</v>
      </c>
      <c r="L79" s="38"/>
      <c r="M79" s="38"/>
    </row>
    <row r="80" spans="1:13" ht="16.8" hidden="1" customHeight="1">
      <c r="A80" s="62" t="s">
        <v>233</v>
      </c>
      <c r="B80" s="62" t="s">
        <v>147</v>
      </c>
      <c r="C80" s="63">
        <v>9</v>
      </c>
      <c r="D80" s="64">
        <v>0</v>
      </c>
      <c r="E80" s="64">
        <v>54</v>
      </c>
      <c r="F80" s="65">
        <v>215</v>
      </c>
      <c r="G80" s="66">
        <v>0</v>
      </c>
      <c r="H80" s="67">
        <v>0</v>
      </c>
      <c r="I80" s="68">
        <v>0</v>
      </c>
      <c r="J80" s="68">
        <v>4.9899999999999984</v>
      </c>
      <c r="K80" s="116">
        <v>0</v>
      </c>
      <c r="L80" s="38"/>
      <c r="M80" s="38"/>
    </row>
    <row r="81" spans="1:13" ht="25.2">
      <c r="A81" s="62" t="s">
        <v>192</v>
      </c>
      <c r="B81" s="62" t="s">
        <v>148</v>
      </c>
      <c r="C81" s="63">
        <v>9</v>
      </c>
      <c r="D81" s="64">
        <v>21500</v>
      </c>
      <c r="E81" s="64">
        <v>22278</v>
      </c>
      <c r="F81" s="65">
        <v>2</v>
      </c>
      <c r="G81" s="66">
        <v>1606.0000000000002</v>
      </c>
      <c r="H81" s="67">
        <v>0.35048010973936899</v>
      </c>
      <c r="I81" s="68">
        <v>8916.0000000000018</v>
      </c>
      <c r="J81" s="68">
        <v>6.84</v>
      </c>
      <c r="K81" s="116">
        <v>1500</v>
      </c>
      <c r="L81" s="38"/>
      <c r="M81" s="38"/>
    </row>
    <row r="82" spans="1:13" ht="16.8" hidden="1" customHeight="1">
      <c r="A82" s="62" t="s">
        <v>234</v>
      </c>
      <c r="B82" s="62" t="s">
        <v>149</v>
      </c>
      <c r="C82" s="63">
        <v>9</v>
      </c>
      <c r="D82" s="64">
        <v>0</v>
      </c>
      <c r="E82" s="64">
        <v>1039</v>
      </c>
      <c r="F82" s="65">
        <v>0</v>
      </c>
      <c r="G82" s="66">
        <v>1491.0000000000002</v>
      </c>
      <c r="H82" s="67">
        <v>9.2444641275465038</v>
      </c>
      <c r="I82" s="68">
        <v>1715.0000000000002</v>
      </c>
      <c r="J82" s="68">
        <v>6.2199999999999989</v>
      </c>
      <c r="K82" s="116">
        <v>0</v>
      </c>
      <c r="L82" s="38"/>
      <c r="M82" s="38"/>
    </row>
    <row r="83" spans="1:13" ht="25.8" thickBot="1">
      <c r="A83" s="62" t="s">
        <v>193</v>
      </c>
      <c r="B83" s="62" t="s">
        <v>150</v>
      </c>
      <c r="C83" s="63">
        <v>15999</v>
      </c>
      <c r="D83" s="64">
        <v>8000</v>
      </c>
      <c r="E83" s="64">
        <v>10343</v>
      </c>
      <c r="F83" s="65">
        <v>0</v>
      </c>
      <c r="G83" s="66">
        <v>5372.0000000000009</v>
      </c>
      <c r="H83" s="67">
        <v>2.2038328547148804</v>
      </c>
      <c r="I83" s="68">
        <v>2429.0000000000005</v>
      </c>
      <c r="J83" s="68">
        <v>6.68</v>
      </c>
      <c r="K83" s="117">
        <v>500</v>
      </c>
      <c r="L83" s="38"/>
      <c r="M83" s="38"/>
    </row>
    <row r="84" spans="1:13" ht="17.399999999999999" hidden="1" customHeight="1" thickBot="1">
      <c r="A84" s="69" t="s">
        <v>194</v>
      </c>
      <c r="B84" s="69" t="s">
        <v>151</v>
      </c>
      <c r="C84" s="70">
        <v>9</v>
      </c>
      <c r="D84" s="71">
        <v>0</v>
      </c>
      <c r="E84" s="71">
        <v>2471</v>
      </c>
      <c r="F84" s="72">
        <v>108</v>
      </c>
      <c r="G84" s="73">
        <v>2778.0000000000005</v>
      </c>
      <c r="H84" s="74">
        <v>5.097247706422019</v>
      </c>
      <c r="I84" s="75">
        <v>3113.0000000000005</v>
      </c>
      <c r="J84" s="75">
        <v>3.3299999999999983</v>
      </c>
      <c r="K84" s="76">
        <v>0</v>
      </c>
      <c r="L84" s="38"/>
      <c r="M84" s="38"/>
    </row>
    <row r="85" spans="1:13" ht="25.8" thickBot="1">
      <c r="A85" s="62" t="s">
        <v>169</v>
      </c>
      <c r="B85" s="62" t="s">
        <v>169</v>
      </c>
      <c r="C85" s="77">
        <v>989917.89599999995</v>
      </c>
      <c r="D85" s="78">
        <v>1058681.8959999999</v>
      </c>
      <c r="E85" s="78">
        <v>739927</v>
      </c>
      <c r="F85" s="78">
        <v>1617</v>
      </c>
      <c r="G85" s="78">
        <v>330581.00000000006</v>
      </c>
      <c r="H85" s="78">
        <v>3.1274260839244956</v>
      </c>
      <c r="I85" s="79">
        <v>286159.00000000006</v>
      </c>
      <c r="J85" s="79">
        <v>6.990000000000002</v>
      </c>
      <c r="K85" s="80">
        <v>108900</v>
      </c>
      <c r="L85" s="38"/>
      <c r="M85" s="38"/>
    </row>
    <row r="86" spans="1:13" ht="25.2">
      <c r="A86" t="s">
        <v>195</v>
      </c>
      <c r="C86"/>
      <c r="D86"/>
      <c r="E86"/>
      <c r="F86"/>
      <c r="G86"/>
      <c r="H86"/>
      <c r="I86" s="81"/>
      <c r="J86" s="81"/>
      <c r="K86" s="81"/>
      <c r="L86" s="38"/>
      <c r="M86" s="38"/>
    </row>
    <row r="87" spans="1:13" ht="25.2">
      <c r="A87" t="s">
        <v>195</v>
      </c>
      <c r="C87"/>
      <c r="D87"/>
      <c r="E87"/>
      <c r="F87"/>
      <c r="G87"/>
      <c r="H87"/>
      <c r="I87" s="81"/>
      <c r="J87" s="81"/>
      <c r="K87" s="81"/>
      <c r="L87" s="38"/>
      <c r="M87" s="38"/>
    </row>
    <row r="88" spans="1:13" ht="25.8" thickBot="1">
      <c r="A88" t="s">
        <v>195</v>
      </c>
      <c r="C88" s="82"/>
      <c r="D88" s="83"/>
      <c r="E88" s="83"/>
      <c r="F88" s="84"/>
      <c r="G88" s="84"/>
      <c r="H88" s="84"/>
      <c r="I88" s="85"/>
      <c r="J88" s="85"/>
      <c r="K88" s="85"/>
      <c r="L88" s="38"/>
      <c r="M88" s="38"/>
    </row>
    <row r="89" spans="1:13" ht="16.5" customHeight="1" thickBot="1">
      <c r="A89" s="40" t="s">
        <v>195</v>
      </c>
      <c r="B89" s="40"/>
      <c r="C89" s="41"/>
      <c r="D89" s="86"/>
      <c r="E89" s="87"/>
      <c r="F89" s="87"/>
      <c r="G89" s="87"/>
      <c r="H89" s="88"/>
      <c r="I89" s="89"/>
      <c r="J89" s="89"/>
      <c r="K89" s="89"/>
      <c r="L89" s="38"/>
      <c r="M89" s="38"/>
    </row>
    <row r="90" spans="1:13" ht="17.25" customHeight="1" thickBot="1">
      <c r="A90" s="40" t="s">
        <v>196</v>
      </c>
      <c r="B90" s="40" t="s">
        <v>64</v>
      </c>
      <c r="C90" s="41" t="s">
        <v>47</v>
      </c>
      <c r="D90" s="45" t="s">
        <v>65</v>
      </c>
      <c r="E90" s="46" t="s">
        <v>66</v>
      </c>
      <c r="F90" s="46" t="s">
        <v>67</v>
      </c>
      <c r="G90" s="46" t="s">
        <v>68</v>
      </c>
      <c r="H90" s="47" t="s">
        <v>69</v>
      </c>
      <c r="I90" s="48" t="s">
        <v>70</v>
      </c>
      <c r="J90" s="48" t="s">
        <v>71</v>
      </c>
      <c r="K90" s="48" t="s">
        <v>72</v>
      </c>
      <c r="L90" s="38"/>
      <c r="M90" s="38"/>
    </row>
    <row r="91" spans="1:13" ht="25.2">
      <c r="A91" s="55" t="s">
        <v>254</v>
      </c>
      <c r="B91" s="55" t="s">
        <v>152</v>
      </c>
      <c r="C91" s="56">
        <v>487000</v>
      </c>
      <c r="D91" s="51">
        <v>321699</v>
      </c>
      <c r="E91" s="51">
        <v>286403</v>
      </c>
      <c r="F91" s="90">
        <v>51</v>
      </c>
      <c r="G91" s="53">
        <v>585.00000000000011</v>
      </c>
      <c r="H91" s="53">
        <v>1.256508838519437E-2</v>
      </c>
      <c r="I91" s="54">
        <v>38894.000000000007</v>
      </c>
      <c r="J91" s="54">
        <v>6.2199999999999989</v>
      </c>
      <c r="K91" s="116" t="s">
        <v>75</v>
      </c>
      <c r="L91" s="38"/>
      <c r="M91" s="38"/>
    </row>
    <row r="92" spans="1:13" ht="25.2">
      <c r="A92" s="62" t="s">
        <v>197</v>
      </c>
      <c r="B92" s="62" t="s">
        <v>153</v>
      </c>
      <c r="C92" s="63">
        <v>186333</v>
      </c>
      <c r="D92" s="64">
        <v>131740</v>
      </c>
      <c r="E92" s="64">
        <v>97665</v>
      </c>
      <c r="F92" s="91">
        <v>3</v>
      </c>
      <c r="G92" s="67">
        <v>46756.000000000007</v>
      </c>
      <c r="H92" s="67">
        <v>2.9601772712883827</v>
      </c>
      <c r="I92" s="68">
        <v>54095.000000000007</v>
      </c>
      <c r="J92" s="68">
        <v>4.4500000000000028</v>
      </c>
      <c r="K92" s="116" t="s">
        <v>76</v>
      </c>
      <c r="L92" s="38"/>
      <c r="M92" s="38"/>
    </row>
    <row r="93" spans="1:13" ht="25.2">
      <c r="A93" s="62" t="s">
        <v>198</v>
      </c>
      <c r="B93" s="62" t="s">
        <v>154</v>
      </c>
      <c r="C93" s="63">
        <v>507000</v>
      </c>
      <c r="D93" s="64">
        <v>338055</v>
      </c>
      <c r="E93" s="64">
        <v>314243</v>
      </c>
      <c r="F93" s="91">
        <v>31</v>
      </c>
      <c r="G93" s="67">
        <v>72654.000000000015</v>
      </c>
      <c r="H93" s="67">
        <v>1.335646172391425</v>
      </c>
      <c r="I93" s="68">
        <v>66372.000000000015</v>
      </c>
      <c r="J93" s="68">
        <v>3.3299999999999983</v>
      </c>
      <c r="K93" s="116" t="s">
        <v>77</v>
      </c>
      <c r="L93" s="38"/>
      <c r="M93" s="38"/>
    </row>
    <row r="94" spans="1:13" ht="25.2">
      <c r="A94" s="62" t="s">
        <v>199</v>
      </c>
      <c r="B94" s="62" t="s">
        <v>155</v>
      </c>
      <c r="C94" s="63">
        <v>628334</v>
      </c>
      <c r="D94" s="64">
        <v>409285</v>
      </c>
      <c r="E94" s="64">
        <v>392609</v>
      </c>
      <c r="F94" s="91">
        <v>16</v>
      </c>
      <c r="G94" s="67">
        <v>71661.000000000015</v>
      </c>
      <c r="H94" s="67">
        <v>1.0969104041250011</v>
      </c>
      <c r="I94" s="68">
        <v>51224.000000000007</v>
      </c>
      <c r="J94" s="68">
        <v>4.9899999999999984</v>
      </c>
      <c r="K94" s="116" t="s">
        <v>78</v>
      </c>
      <c r="L94" s="38"/>
      <c r="M94" s="38"/>
    </row>
    <row r="95" spans="1:13" ht="25.2">
      <c r="A95" s="62" t="s">
        <v>235</v>
      </c>
      <c r="B95" s="62" t="s">
        <v>156</v>
      </c>
      <c r="C95" s="63">
        <v>175000</v>
      </c>
      <c r="D95" s="64">
        <v>108920</v>
      </c>
      <c r="E95" s="64">
        <v>94225</v>
      </c>
      <c r="F95" s="91">
        <v>1</v>
      </c>
      <c r="G95" s="67">
        <v>26090.000000000004</v>
      </c>
      <c r="H95" s="67">
        <v>1.9382329530379412</v>
      </c>
      <c r="I95" s="68">
        <v>18979.000000000004</v>
      </c>
      <c r="J95" s="68">
        <v>5.6499999999999986</v>
      </c>
      <c r="K95" s="116" t="s">
        <v>80</v>
      </c>
      <c r="L95" s="38"/>
      <c r="M95" s="38"/>
    </row>
    <row r="96" spans="1:13" ht="25.2">
      <c r="A96" s="62" t="s">
        <v>200</v>
      </c>
      <c r="B96" s="62" t="s">
        <v>157</v>
      </c>
      <c r="C96" s="63">
        <v>289000</v>
      </c>
      <c r="D96" s="64">
        <v>192965</v>
      </c>
      <c r="E96" s="64">
        <v>179724</v>
      </c>
      <c r="F96" s="91">
        <v>1</v>
      </c>
      <c r="G96" s="67">
        <v>22915.000000000004</v>
      </c>
      <c r="H96" s="67">
        <v>0.76901871668009059</v>
      </c>
      <c r="I96" s="68">
        <v>39983.000000000007</v>
      </c>
      <c r="J96" s="68">
        <v>3</v>
      </c>
      <c r="K96" s="116" t="s">
        <v>84</v>
      </c>
      <c r="L96" s="38"/>
      <c r="M96" s="38"/>
    </row>
    <row r="97" spans="1:13" ht="25.2">
      <c r="A97" s="62" t="s">
        <v>201</v>
      </c>
      <c r="B97" s="62" t="s">
        <v>158</v>
      </c>
      <c r="C97" s="63">
        <v>305000</v>
      </c>
      <c r="D97" s="64">
        <v>198425</v>
      </c>
      <c r="E97" s="64">
        <v>186802</v>
      </c>
      <c r="F97" s="91">
        <v>18</v>
      </c>
      <c r="G97" s="67">
        <v>34643.000000000007</v>
      </c>
      <c r="H97" s="67">
        <v>1.0370292761779323</v>
      </c>
      <c r="I97" s="68">
        <v>34413.000000000007</v>
      </c>
      <c r="J97" s="68">
        <v>5.8599999999999994</v>
      </c>
      <c r="K97" s="116" t="s">
        <v>83</v>
      </c>
      <c r="L97" s="38"/>
      <c r="M97" s="38"/>
    </row>
    <row r="98" spans="1:13" ht="25.2">
      <c r="A98" s="62" t="s">
        <v>236</v>
      </c>
      <c r="B98" s="62" t="s">
        <v>159</v>
      </c>
      <c r="C98" s="63">
        <v>124000</v>
      </c>
      <c r="D98" s="64">
        <v>81860</v>
      </c>
      <c r="E98" s="64">
        <v>76762</v>
      </c>
      <c r="F98" s="91">
        <v>2</v>
      </c>
      <c r="G98" s="67">
        <v>24708.000000000004</v>
      </c>
      <c r="H98" s="67">
        <v>2.25314608790808</v>
      </c>
      <c r="I98" s="68">
        <v>29090.000000000004</v>
      </c>
      <c r="J98" s="68">
        <v>5.5499999999999972</v>
      </c>
      <c r="K98" s="116" t="s">
        <v>83</v>
      </c>
      <c r="L98" s="38"/>
      <c r="M98" s="38"/>
    </row>
    <row r="99" spans="1:13" ht="25.8" thickBot="1">
      <c r="A99" s="69" t="s">
        <v>255</v>
      </c>
      <c r="B99" s="69" t="s">
        <v>160</v>
      </c>
      <c r="C99" s="70">
        <v>405000</v>
      </c>
      <c r="D99" s="71">
        <v>264384</v>
      </c>
      <c r="E99" s="92">
        <v>289201</v>
      </c>
      <c r="F99" s="93">
        <v>29</v>
      </c>
      <c r="G99" s="94">
        <v>31014.000000000004</v>
      </c>
      <c r="H99" s="94">
        <v>0.6304372446357166</v>
      </c>
      <c r="I99" s="95">
        <v>1721.0000000000005</v>
      </c>
      <c r="J99" s="95">
        <v>4.990000000000002</v>
      </c>
      <c r="K99" s="116" t="s">
        <v>85</v>
      </c>
      <c r="L99" s="38"/>
      <c r="M99" s="38"/>
    </row>
    <row r="100" spans="1:13" ht="25.8" thickBot="1">
      <c r="A100" s="69" t="s">
        <v>169</v>
      </c>
      <c r="B100" s="69" t="s">
        <v>169</v>
      </c>
      <c r="C100" s="77">
        <v>3106667</v>
      </c>
      <c r="D100" s="78">
        <v>2047333</v>
      </c>
      <c r="E100" s="78">
        <v>1917634</v>
      </c>
      <c r="F100" s="78">
        <v>152</v>
      </c>
      <c r="G100" s="78">
        <v>331026.00000000006</v>
      </c>
      <c r="H100" s="78">
        <v>1.2083546703907004</v>
      </c>
      <c r="I100" s="79">
        <v>334771.00000000006</v>
      </c>
      <c r="J100" s="79">
        <v>6.75</v>
      </c>
      <c r="K100" s="79">
        <v>197333</v>
      </c>
      <c r="L100" s="38"/>
      <c r="M100" s="38"/>
    </row>
    <row r="101" spans="1:13" ht="25.8" thickBot="1">
      <c r="A101" t="s">
        <v>195</v>
      </c>
      <c r="C101" s="96"/>
      <c r="D101" s="97"/>
      <c r="E101" s="98"/>
      <c r="F101" s="98"/>
      <c r="G101" s="97"/>
      <c r="H101" s="97"/>
      <c r="I101" s="99"/>
      <c r="J101" s="99"/>
      <c r="K101" s="99"/>
      <c r="L101" s="38"/>
      <c r="M101" s="38"/>
    </row>
    <row r="102" spans="1:13" ht="16.5" customHeight="1" thickBot="1">
      <c r="A102" s="40" t="s">
        <v>195</v>
      </c>
      <c r="B102" s="40"/>
      <c r="C102" s="41"/>
      <c r="D102" s="86"/>
      <c r="E102" s="87"/>
      <c r="F102" s="87"/>
      <c r="G102" s="87"/>
      <c r="H102" s="88"/>
      <c r="I102" s="89"/>
      <c r="J102" s="89"/>
      <c r="K102" s="89"/>
      <c r="L102" s="38"/>
      <c r="M102" s="38"/>
    </row>
    <row r="103" spans="1:13" ht="17.25" customHeight="1" thickBot="1">
      <c r="A103" s="40" t="s">
        <v>196</v>
      </c>
      <c r="B103" s="40" t="s">
        <v>64</v>
      </c>
      <c r="C103" s="41" t="s">
        <v>47</v>
      </c>
      <c r="D103" s="45" t="s">
        <v>65</v>
      </c>
      <c r="E103" s="46" t="s">
        <v>66</v>
      </c>
      <c r="F103" s="46" t="s">
        <v>67</v>
      </c>
      <c r="G103" s="46" t="s">
        <v>68</v>
      </c>
      <c r="H103" s="47" t="s">
        <v>69</v>
      </c>
      <c r="I103" s="48" t="s">
        <v>70</v>
      </c>
      <c r="J103" s="48" t="s">
        <v>71</v>
      </c>
      <c r="K103" s="48" t="s">
        <v>72</v>
      </c>
      <c r="L103" s="38"/>
      <c r="M103" s="38"/>
    </row>
    <row r="104" spans="1:13" ht="25.2">
      <c r="A104" s="55" t="s">
        <v>237</v>
      </c>
      <c r="B104" s="55" t="s">
        <v>161</v>
      </c>
      <c r="C104" s="50">
        <v>229040</v>
      </c>
      <c r="D104" s="51">
        <v>153685</v>
      </c>
      <c r="E104" s="51">
        <v>113053</v>
      </c>
      <c r="F104" s="52">
        <v>30</v>
      </c>
      <c r="G104" s="100">
        <v>2287.0000000000005</v>
      </c>
      <c r="H104" s="101">
        <v>0.13413152580999221</v>
      </c>
      <c r="I104" s="54">
        <v>118.00000000000001</v>
      </c>
      <c r="J104" s="54">
        <v>4</v>
      </c>
      <c r="K104" s="116" t="s">
        <v>80</v>
      </c>
      <c r="L104" s="38"/>
      <c r="M104" s="38"/>
    </row>
    <row r="105" spans="1:13" ht="25.2">
      <c r="A105" s="62" t="s">
        <v>202</v>
      </c>
      <c r="B105" s="62" t="s">
        <v>162</v>
      </c>
      <c r="C105" s="63">
        <v>167762</v>
      </c>
      <c r="D105" s="64">
        <v>110087</v>
      </c>
      <c r="E105" s="64">
        <v>95070</v>
      </c>
      <c r="F105" s="65">
        <v>34</v>
      </c>
      <c r="G105" s="67">
        <v>885.00000000000011</v>
      </c>
      <c r="H105" s="102">
        <v>6.1392555595195637E-2</v>
      </c>
      <c r="I105" s="68">
        <v>3.0000000000000004</v>
      </c>
      <c r="J105" s="68">
        <v>6.84</v>
      </c>
      <c r="K105" s="116" t="s">
        <v>84</v>
      </c>
      <c r="L105" s="38"/>
      <c r="M105" s="38"/>
    </row>
    <row r="106" spans="1:13" ht="25.2">
      <c r="A106" s="62" t="s">
        <v>203</v>
      </c>
      <c r="B106" s="62" t="s">
        <v>163</v>
      </c>
      <c r="C106" s="63">
        <v>296027</v>
      </c>
      <c r="D106" s="64">
        <v>180381</v>
      </c>
      <c r="E106" s="64">
        <v>174224</v>
      </c>
      <c r="F106" s="65">
        <v>54</v>
      </c>
      <c r="G106" s="67">
        <v>43950.000000000007</v>
      </c>
      <c r="H106" s="102">
        <v>1.6842214752608589</v>
      </c>
      <c r="I106" s="68">
        <v>26387.000000000007</v>
      </c>
      <c r="J106" s="68">
        <v>4.5799999999999983</v>
      </c>
      <c r="K106" s="116" t="s">
        <v>84</v>
      </c>
      <c r="L106" s="38"/>
      <c r="M106" s="38"/>
    </row>
    <row r="107" spans="1:13" ht="16.8" hidden="1" customHeight="1">
      <c r="A107" s="62" t="s">
        <v>204</v>
      </c>
      <c r="B107" s="62" t="s">
        <v>164</v>
      </c>
      <c r="C107" s="63">
        <v>0</v>
      </c>
      <c r="D107" s="64">
        <v>0</v>
      </c>
      <c r="E107" s="64">
        <v>0</v>
      </c>
      <c r="F107" s="65">
        <v>0</v>
      </c>
      <c r="G107" s="103">
        <v>0</v>
      </c>
      <c r="H107" s="102">
        <v>0</v>
      </c>
      <c r="I107" s="68">
        <v>0</v>
      </c>
      <c r="J107" s="68">
        <v>4</v>
      </c>
      <c r="K107" s="116" t="s">
        <v>83</v>
      </c>
      <c r="L107" s="38"/>
      <c r="M107" s="38"/>
    </row>
    <row r="108" spans="1:13" ht="16.8" hidden="1" customHeight="1">
      <c r="A108" s="62" t="s">
        <v>205</v>
      </c>
      <c r="B108" s="62" t="s">
        <v>165</v>
      </c>
      <c r="C108" s="63">
        <v>0</v>
      </c>
      <c r="D108" s="64">
        <v>0</v>
      </c>
      <c r="E108" s="64">
        <v>0</v>
      </c>
      <c r="F108" s="65">
        <v>0</v>
      </c>
      <c r="G108" s="67">
        <v>0</v>
      </c>
      <c r="H108" s="102">
        <v>0</v>
      </c>
      <c r="I108" s="68">
        <v>0</v>
      </c>
      <c r="J108" s="68">
        <v>4.1199999999999974</v>
      </c>
      <c r="K108" s="116" t="s">
        <v>83</v>
      </c>
      <c r="L108" s="38"/>
      <c r="M108" s="38"/>
    </row>
    <row r="109" spans="1:13" ht="16.8" hidden="1" customHeight="1">
      <c r="A109" s="62" t="s">
        <v>206</v>
      </c>
      <c r="B109" s="62" t="s">
        <v>166</v>
      </c>
      <c r="C109" s="63">
        <v>0</v>
      </c>
      <c r="D109" s="64">
        <v>0</v>
      </c>
      <c r="E109" s="64">
        <v>0</v>
      </c>
      <c r="F109" s="65">
        <v>0</v>
      </c>
      <c r="G109" s="67">
        <v>0</v>
      </c>
      <c r="H109" s="102">
        <v>0</v>
      </c>
      <c r="I109" s="68">
        <v>0</v>
      </c>
      <c r="J109" s="68">
        <v>4.8999999999999986</v>
      </c>
      <c r="K109" s="116" t="s">
        <v>85</v>
      </c>
      <c r="L109" s="38"/>
      <c r="M109" s="38"/>
    </row>
    <row r="110" spans="1:13" ht="25.2">
      <c r="A110" s="62" t="s">
        <v>238</v>
      </c>
      <c r="B110" s="62" t="s">
        <v>167</v>
      </c>
      <c r="C110" s="63">
        <v>354623</v>
      </c>
      <c r="D110" s="64">
        <v>215816</v>
      </c>
      <c r="E110" s="64">
        <v>216857</v>
      </c>
      <c r="F110" s="65">
        <v>101</v>
      </c>
      <c r="G110" s="67">
        <v>450.00000000000006</v>
      </c>
      <c r="H110" s="102">
        <v>1.3797090784857366E-2</v>
      </c>
      <c r="I110" s="68">
        <v>73.000000000000014</v>
      </c>
      <c r="J110" s="68">
        <v>4.7300000000000004</v>
      </c>
      <c r="K110" s="116" t="s">
        <v>84</v>
      </c>
      <c r="L110" s="38"/>
      <c r="M110" s="38"/>
    </row>
    <row r="111" spans="1:13" ht="25.8" thickBot="1">
      <c r="A111" s="69" t="s">
        <v>207</v>
      </c>
      <c r="B111" s="69" t="s">
        <v>168</v>
      </c>
      <c r="C111" s="104">
        <v>232640</v>
      </c>
      <c r="D111" s="92">
        <v>128123</v>
      </c>
      <c r="E111" s="92">
        <v>164861</v>
      </c>
      <c r="F111" s="105">
        <v>68</v>
      </c>
      <c r="G111" s="92">
        <v>1771.0000000000002</v>
      </c>
      <c r="H111" s="106">
        <v>7.102303651123755E-2</v>
      </c>
      <c r="I111" s="95">
        <v>0</v>
      </c>
      <c r="J111" s="95">
        <v>4.68</v>
      </c>
      <c r="K111" s="116" t="s">
        <v>84</v>
      </c>
      <c r="L111" s="38"/>
      <c r="M111" s="38"/>
    </row>
    <row r="112" spans="1:13" ht="25.8" thickBot="1">
      <c r="A112" s="69" t="s">
        <v>169</v>
      </c>
      <c r="B112" s="69" t="s">
        <v>169</v>
      </c>
      <c r="C112" s="107">
        <v>1280092</v>
      </c>
      <c r="D112" s="78">
        <v>788092</v>
      </c>
      <c r="E112" s="78">
        <v>764065</v>
      </c>
      <c r="F112" s="78">
        <v>287</v>
      </c>
      <c r="G112" s="78">
        <v>49343.000000000007</v>
      </c>
      <c r="H112" s="78">
        <v>0.45205708938375672</v>
      </c>
      <c r="I112" s="79">
        <v>26581.000000000007</v>
      </c>
      <c r="J112" s="79">
        <v>5</v>
      </c>
      <c r="K112" s="79">
        <v>80000</v>
      </c>
      <c r="L112" s="38"/>
      <c r="M112" s="38"/>
    </row>
    <row r="113" spans="1:13" ht="25.2">
      <c r="A113" t="s">
        <v>195</v>
      </c>
      <c r="C113" s="108"/>
      <c r="D113" s="97"/>
      <c r="E113" s="97"/>
      <c r="F113" s="97"/>
      <c r="G113" s="97"/>
      <c r="H113" s="97"/>
      <c r="I113" s="99"/>
      <c r="J113" s="99"/>
      <c r="K113" s="99"/>
      <c r="L113" s="38"/>
      <c r="M113" s="38"/>
    </row>
    <row r="114" spans="1:13" ht="25.8" thickBot="1">
      <c r="A114" t="s">
        <v>195</v>
      </c>
      <c r="C114" s="108"/>
      <c r="D114" s="97"/>
      <c r="E114" s="97"/>
      <c r="F114" s="97"/>
      <c r="G114" s="97"/>
      <c r="H114" s="97"/>
      <c r="I114" s="99"/>
      <c r="J114" s="99"/>
      <c r="K114" s="99"/>
      <c r="L114" s="38"/>
      <c r="M114" s="38"/>
    </row>
    <row r="115" spans="1:13" ht="25.8" thickBot="1">
      <c r="A115" s="69" t="s">
        <v>57</v>
      </c>
      <c r="B115" s="69" t="s">
        <v>57</v>
      </c>
      <c r="C115" s="109">
        <v>5376676.8959999997</v>
      </c>
      <c r="D115" s="110">
        <v>3894106.8959999997</v>
      </c>
      <c r="E115" s="110">
        <v>3421626</v>
      </c>
      <c r="F115" s="110">
        <v>2056</v>
      </c>
      <c r="G115" s="110">
        <v>710950.00000000012</v>
      </c>
      <c r="H115" s="110">
        <v>1.4544693078670787</v>
      </c>
      <c r="I115" s="111">
        <v>647511.00000000012</v>
      </c>
      <c r="J115" s="111">
        <v>5.2000000000000028</v>
      </c>
      <c r="K115" s="111">
        <v>386233</v>
      </c>
      <c r="L115" s="38"/>
      <c r="M115" s="38"/>
    </row>
    <row r="116" spans="1:13" ht="25.2">
      <c r="A116" t="s">
        <v>195</v>
      </c>
      <c r="I116" s="112"/>
      <c r="J116" s="112"/>
      <c r="K116" s="112"/>
      <c r="L116" s="38"/>
      <c r="M116" s="38"/>
    </row>
    <row r="117" spans="1:13" ht="25.2">
      <c r="A117" t="s">
        <v>195</v>
      </c>
      <c r="I117" s="112"/>
      <c r="J117" s="112"/>
      <c r="K117" s="112"/>
      <c r="L117" s="38"/>
      <c r="M117" s="38"/>
    </row>
    <row r="118" spans="1:13" ht="25.2">
      <c r="A118" t="s">
        <v>195</v>
      </c>
      <c r="D118" s="113"/>
      <c r="I118" s="112"/>
      <c r="J118" s="112"/>
      <c r="K118" s="112"/>
      <c r="L118" s="38"/>
      <c r="M118" s="38"/>
    </row>
    <row r="119" spans="1:13" ht="25.2">
      <c r="A119" t="s">
        <v>195</v>
      </c>
      <c r="I119" s="112"/>
      <c r="J119" s="112"/>
      <c r="K119" s="112"/>
      <c r="L119" s="38"/>
      <c r="M119" s="38"/>
    </row>
    <row r="120" spans="1:13">
      <c r="A120" t="s">
        <v>195</v>
      </c>
      <c r="I120" s="112"/>
      <c r="J120" s="112"/>
      <c r="K120" s="112"/>
      <c r="M120" t="s">
        <v>195</v>
      </c>
    </row>
    <row r="121" spans="1:13">
      <c r="A121" t="s">
        <v>195</v>
      </c>
      <c r="I121" s="112"/>
      <c r="J121" s="112"/>
      <c r="K121" s="112"/>
      <c r="M121" t="s">
        <v>195</v>
      </c>
    </row>
    <row r="122" spans="1:13">
      <c r="A122" t="s">
        <v>195</v>
      </c>
      <c r="I122" s="112"/>
      <c r="J122" s="112"/>
      <c r="K122" s="112"/>
      <c r="M122" t="s">
        <v>195</v>
      </c>
    </row>
    <row r="123" spans="1:13">
      <c r="I123" s="112"/>
      <c r="J123" s="112"/>
      <c r="K123" s="112"/>
    </row>
    <row r="124" spans="1:13">
      <c r="I124" s="112"/>
      <c r="J124" s="112"/>
      <c r="K124" s="112"/>
    </row>
    <row r="125" spans="1:13">
      <c r="I125" s="112"/>
      <c r="J125" s="112"/>
      <c r="K125" s="112"/>
    </row>
    <row r="126" spans="1:13">
      <c r="I126" s="112"/>
      <c r="J126" s="112"/>
      <c r="K126" s="112"/>
    </row>
    <row r="127" spans="1:13">
      <c r="I127" s="112"/>
      <c r="J127" s="112"/>
      <c r="K127" s="112"/>
    </row>
    <row r="128" spans="1:13">
      <c r="I128" s="112"/>
      <c r="J128" s="112"/>
      <c r="K128" s="112"/>
    </row>
    <row r="129" spans="9:11">
      <c r="I129" s="112"/>
      <c r="J129" s="112"/>
      <c r="K129" s="112"/>
    </row>
    <row r="130" spans="9:11">
      <c r="I130" s="112"/>
      <c r="J130" s="112"/>
      <c r="K130" s="112"/>
    </row>
    <row r="131" spans="9:11">
      <c r="I131" s="112"/>
      <c r="J131" s="112"/>
      <c r="K131" s="112"/>
    </row>
    <row r="132" spans="9:11">
      <c r="I132" s="112"/>
      <c r="J132" s="112"/>
      <c r="K132" s="112"/>
    </row>
    <row r="133" spans="9:11">
      <c r="I133" s="112"/>
      <c r="J133" s="112"/>
      <c r="K133" s="112"/>
    </row>
    <row r="134" spans="9:11">
      <c r="I134" s="112"/>
      <c r="J134" s="112"/>
      <c r="K134" s="112"/>
    </row>
    <row r="135" spans="9:11">
      <c r="I135" s="112"/>
      <c r="J135" s="112"/>
      <c r="K135" s="112"/>
    </row>
    <row r="136" spans="9:11">
      <c r="I136" s="112"/>
      <c r="J136" s="112"/>
      <c r="K136" s="112"/>
    </row>
    <row r="137" spans="9:11">
      <c r="I137" s="112"/>
      <c r="J137" s="112"/>
      <c r="K137" s="112"/>
    </row>
    <row r="138" spans="9:11">
      <c r="I138" s="112"/>
      <c r="J138" s="112"/>
      <c r="K138" s="112"/>
    </row>
    <row r="139" spans="9:11">
      <c r="I139" s="112"/>
      <c r="J139" s="112"/>
      <c r="K139" s="112"/>
    </row>
    <row r="140" spans="9:11">
      <c r="I140" s="112"/>
      <c r="J140" s="112"/>
      <c r="K140" s="112"/>
    </row>
    <row r="141" spans="9:11">
      <c r="I141" s="112"/>
      <c r="J141" s="112"/>
      <c r="K141" s="112"/>
    </row>
    <row r="142" spans="9:11">
      <c r="I142" s="112"/>
      <c r="J142" s="112"/>
      <c r="K142" s="112"/>
    </row>
    <row r="143" spans="9:11">
      <c r="I143" s="112"/>
      <c r="J143" s="112"/>
      <c r="K143" s="112"/>
    </row>
    <row r="144" spans="9:11">
      <c r="I144" s="112"/>
      <c r="J144" s="112"/>
      <c r="K144" s="112"/>
    </row>
    <row r="145" spans="9:11">
      <c r="I145" s="112"/>
      <c r="J145" s="112"/>
      <c r="K145" s="112"/>
    </row>
    <row r="146" spans="9:11">
      <c r="I146" s="112"/>
      <c r="J146" s="112"/>
      <c r="K146" s="112"/>
    </row>
    <row r="147" spans="9:11">
      <c r="I147" s="112"/>
      <c r="J147" s="112"/>
      <c r="K147" s="112"/>
    </row>
    <row r="148" spans="9:11">
      <c r="I148" s="112"/>
      <c r="J148" s="112"/>
      <c r="K148" s="112"/>
    </row>
    <row r="149" spans="9:11">
      <c r="I149" s="112"/>
      <c r="J149" s="112"/>
      <c r="K149" s="112"/>
    </row>
    <row r="150" spans="9:11">
      <c r="I150" s="112"/>
      <c r="J150" s="112"/>
      <c r="K150" s="112"/>
    </row>
    <row r="151" spans="9:11">
      <c r="I151" s="112"/>
      <c r="J151" s="112"/>
      <c r="K151" s="112"/>
    </row>
    <row r="152" spans="9:11">
      <c r="I152" s="112"/>
      <c r="J152" s="112"/>
      <c r="K152" s="112"/>
    </row>
    <row r="153" spans="9:11">
      <c r="I153" s="112"/>
      <c r="J153" s="112"/>
      <c r="K153" s="112"/>
    </row>
    <row r="154" spans="9:11">
      <c r="I154" s="112"/>
      <c r="J154" s="112"/>
      <c r="K154" s="112"/>
    </row>
    <row r="155" spans="9:11">
      <c r="I155" s="112"/>
      <c r="J155" s="112"/>
      <c r="K155" s="112"/>
    </row>
    <row r="156" spans="9:11">
      <c r="I156" s="112"/>
      <c r="J156" s="112"/>
      <c r="K156" s="112"/>
    </row>
    <row r="157" spans="9:11">
      <c r="I157" s="112"/>
      <c r="J157" s="112"/>
      <c r="K157" s="112"/>
    </row>
    <row r="158" spans="9:11">
      <c r="I158" s="112"/>
      <c r="J158" s="112"/>
      <c r="K158" s="112"/>
    </row>
    <row r="159" spans="9:11">
      <c r="I159" s="112"/>
      <c r="J159" s="112"/>
      <c r="K159" s="112"/>
    </row>
    <row r="160" spans="9:11">
      <c r="I160" s="112"/>
      <c r="J160" s="112"/>
      <c r="K160" s="112"/>
    </row>
    <row r="161" spans="9:11">
      <c r="I161" s="112"/>
      <c r="J161" s="112"/>
      <c r="K161" s="112"/>
    </row>
    <row r="162" spans="9:11">
      <c r="I162" s="112"/>
      <c r="J162" s="112"/>
      <c r="K162" s="112"/>
    </row>
    <row r="163" spans="9:11">
      <c r="I163" s="112"/>
      <c r="J163" s="112"/>
      <c r="K163" s="112"/>
    </row>
    <row r="164" spans="9:11">
      <c r="I164" s="112"/>
      <c r="J164" s="112"/>
      <c r="K164" s="112"/>
    </row>
    <row r="165" spans="9:11">
      <c r="I165" s="112"/>
      <c r="J165" s="112"/>
      <c r="K165" s="112"/>
    </row>
    <row r="166" spans="9:11">
      <c r="I166" s="112"/>
      <c r="J166" s="112"/>
      <c r="K166" s="112"/>
    </row>
    <row r="167" spans="9:11">
      <c r="I167" s="112"/>
      <c r="J167" s="112"/>
      <c r="K167" s="112"/>
    </row>
    <row r="168" spans="9:11">
      <c r="I168" s="112"/>
      <c r="J168" s="112"/>
      <c r="K168" s="112"/>
    </row>
    <row r="169" spans="9:11">
      <c r="I169" s="112"/>
      <c r="J169" s="112"/>
      <c r="K169" s="112"/>
    </row>
    <row r="170" spans="9:11">
      <c r="I170" s="112"/>
      <c r="J170" s="112"/>
      <c r="K170" s="112"/>
    </row>
    <row r="171" spans="9:11">
      <c r="I171" s="112"/>
      <c r="J171" s="112"/>
      <c r="K171" s="112"/>
    </row>
    <row r="172" spans="9:11">
      <c r="I172" s="112"/>
      <c r="J172" s="112"/>
      <c r="K172" s="112"/>
    </row>
    <row r="173" spans="9:11">
      <c r="I173" s="112"/>
      <c r="J173" s="112"/>
      <c r="K173" s="112"/>
    </row>
    <row r="174" spans="9:11">
      <c r="I174" s="112"/>
      <c r="J174" s="112"/>
      <c r="K174" s="112"/>
    </row>
    <row r="175" spans="9:11">
      <c r="I175" s="112"/>
      <c r="J175" s="112"/>
      <c r="K175" s="112"/>
    </row>
    <row r="176" spans="9:11">
      <c r="I176" s="112"/>
      <c r="J176" s="112"/>
      <c r="K176" s="112"/>
    </row>
    <row r="177" spans="9:11">
      <c r="I177" s="112"/>
      <c r="J177" s="112"/>
      <c r="K177" s="112"/>
    </row>
    <row r="178" spans="9:11">
      <c r="I178" s="112"/>
      <c r="J178" s="112"/>
      <c r="K178" s="112"/>
    </row>
    <row r="179" spans="9:11">
      <c r="I179" s="112"/>
      <c r="J179" s="112"/>
      <c r="K179" s="112"/>
    </row>
    <row r="180" spans="9:11">
      <c r="I180" s="112"/>
      <c r="J180" s="112"/>
      <c r="K180" s="112"/>
    </row>
    <row r="181" spans="9:11">
      <c r="I181" s="112"/>
      <c r="J181" s="112"/>
      <c r="K181" s="112"/>
    </row>
    <row r="182" spans="9:11">
      <c r="I182" s="112"/>
      <c r="J182" s="112"/>
      <c r="K182" s="112"/>
    </row>
    <row r="183" spans="9:11">
      <c r="I183" s="112"/>
      <c r="J183" s="112"/>
      <c r="K183" s="112"/>
    </row>
    <row r="184" spans="9:11">
      <c r="I184" s="112"/>
      <c r="J184" s="112"/>
      <c r="K184" s="112"/>
    </row>
    <row r="185" spans="9:11">
      <c r="I185" s="112"/>
      <c r="J185" s="112"/>
      <c r="K185" s="112"/>
    </row>
    <row r="186" spans="9:11">
      <c r="I186" s="112"/>
      <c r="J186" s="112"/>
      <c r="K186" s="112"/>
    </row>
    <row r="187" spans="9:11">
      <c r="I187" s="112"/>
      <c r="J187" s="112"/>
      <c r="K187" s="112"/>
    </row>
    <row r="188" spans="9:11">
      <c r="I188" s="112"/>
      <c r="J188" s="112"/>
      <c r="K188" s="112"/>
    </row>
    <row r="189" spans="9:11">
      <c r="I189" s="112"/>
      <c r="J189" s="112"/>
      <c r="K189" s="112"/>
    </row>
    <row r="190" spans="9:11">
      <c r="I190" s="112"/>
      <c r="J190" s="112"/>
      <c r="K190" s="112"/>
    </row>
    <row r="191" spans="9:11">
      <c r="I191" s="112"/>
      <c r="J191" s="112"/>
      <c r="K191" s="112"/>
    </row>
    <row r="192" spans="9:11">
      <c r="I192" s="112"/>
      <c r="J192" s="112"/>
      <c r="K192" s="112"/>
    </row>
    <row r="193" spans="9:11">
      <c r="I193" s="112"/>
      <c r="J193" s="112"/>
      <c r="K193" s="112"/>
    </row>
    <row r="194" spans="9:11">
      <c r="I194" s="112"/>
      <c r="J194" s="112"/>
      <c r="K194" s="112"/>
    </row>
    <row r="195" spans="9:11">
      <c r="I195" s="112"/>
      <c r="J195" s="112"/>
      <c r="K195" s="112"/>
    </row>
    <row r="196" spans="9:11">
      <c r="I196" s="112"/>
      <c r="J196" s="112"/>
      <c r="K196" s="112"/>
    </row>
    <row r="197" spans="9:11">
      <c r="I197" s="112"/>
      <c r="J197" s="112"/>
      <c r="K197" s="112"/>
    </row>
    <row r="198" spans="9:11">
      <c r="I198" s="112"/>
      <c r="J198" s="112"/>
      <c r="K198" s="112"/>
    </row>
    <row r="199" spans="9:11">
      <c r="I199" s="112"/>
      <c r="J199" s="112"/>
      <c r="K199" s="112"/>
    </row>
    <row r="200" spans="9:11">
      <c r="I200" s="112"/>
      <c r="J200" s="112"/>
      <c r="K200" s="112"/>
    </row>
    <row r="201" spans="9:11">
      <c r="I201" s="112"/>
      <c r="J201" s="112"/>
      <c r="K201" s="112"/>
    </row>
    <row r="202" spans="9:11">
      <c r="I202" s="112"/>
      <c r="J202" s="112"/>
      <c r="K202" s="112"/>
    </row>
    <row r="203" spans="9:11">
      <c r="I203" s="112"/>
      <c r="J203" s="112"/>
      <c r="K203" s="112"/>
    </row>
    <row r="204" spans="9:11">
      <c r="I204" s="112"/>
      <c r="J204" s="112"/>
      <c r="K204" s="112"/>
    </row>
    <row r="205" spans="9:11">
      <c r="I205" s="112"/>
      <c r="J205" s="112"/>
      <c r="K205" s="112"/>
    </row>
    <row r="206" spans="9:11">
      <c r="I206" s="112"/>
      <c r="J206" s="112"/>
      <c r="K206" s="112"/>
    </row>
    <row r="207" spans="9:11">
      <c r="I207" s="112"/>
      <c r="J207" s="112"/>
      <c r="K207" s="112"/>
    </row>
    <row r="208" spans="9:11">
      <c r="I208" s="112"/>
      <c r="J208" s="112"/>
      <c r="K208" s="112"/>
    </row>
    <row r="209" spans="9:11">
      <c r="I209" s="112"/>
      <c r="J209" s="112"/>
      <c r="K209" s="112"/>
    </row>
    <row r="210" spans="9:11">
      <c r="I210" s="112"/>
      <c r="J210" s="112"/>
      <c r="K210" s="112"/>
    </row>
    <row r="211" spans="9:11">
      <c r="I211" s="112"/>
      <c r="J211" s="112"/>
      <c r="K211" s="112"/>
    </row>
    <row r="212" spans="9:11">
      <c r="I212" s="112"/>
      <c r="J212" s="112"/>
      <c r="K212" s="112"/>
    </row>
    <row r="213" spans="9:11">
      <c r="I213" s="112"/>
      <c r="J213" s="112"/>
      <c r="K213" s="112"/>
    </row>
    <row r="214" spans="9:11">
      <c r="I214" s="112"/>
      <c r="J214" s="112"/>
      <c r="K214" s="112"/>
    </row>
    <row r="215" spans="9:11">
      <c r="I215" s="112"/>
      <c r="J215" s="112"/>
      <c r="K215" s="112"/>
    </row>
    <row r="216" spans="9:11">
      <c r="I216" s="112"/>
      <c r="J216" s="112"/>
      <c r="K216" s="112"/>
    </row>
    <row r="217" spans="9:11">
      <c r="I217" s="112"/>
      <c r="J217" s="112"/>
      <c r="K217" s="112"/>
    </row>
    <row r="218" spans="9:11">
      <c r="I218" s="112"/>
      <c r="J218" s="112"/>
      <c r="K218" s="112"/>
    </row>
    <row r="219" spans="9:11">
      <c r="I219" s="112"/>
      <c r="J219" s="112"/>
      <c r="K219" s="112"/>
    </row>
    <row r="220" spans="9:11">
      <c r="I220" s="112"/>
      <c r="J220" s="112"/>
      <c r="K220" s="112"/>
    </row>
    <row r="221" spans="9:11">
      <c r="I221" s="112"/>
      <c r="J221" s="112"/>
      <c r="K221" s="112"/>
    </row>
    <row r="222" spans="9:11">
      <c r="I222" s="112"/>
      <c r="J222" s="112"/>
      <c r="K222" s="112"/>
    </row>
    <row r="223" spans="9:11">
      <c r="I223" s="112"/>
      <c r="J223" s="112"/>
      <c r="K223" s="112"/>
    </row>
    <row r="224" spans="9:11">
      <c r="I224" s="112"/>
      <c r="J224" s="112"/>
      <c r="K224" s="112"/>
    </row>
    <row r="225" spans="9:11">
      <c r="I225" s="112"/>
      <c r="J225" s="112"/>
      <c r="K225" s="112"/>
    </row>
    <row r="226" spans="9:11">
      <c r="I226" s="112"/>
      <c r="J226" s="112"/>
      <c r="K226" s="112"/>
    </row>
    <row r="227" spans="9:11">
      <c r="I227" s="112"/>
      <c r="J227" s="112"/>
      <c r="K227" s="112"/>
    </row>
    <row r="228" spans="9:11">
      <c r="I228" s="112"/>
      <c r="J228" s="112"/>
      <c r="K228" s="112"/>
    </row>
    <row r="229" spans="9:11">
      <c r="I229" s="112"/>
      <c r="J229" s="112"/>
      <c r="K229" s="112"/>
    </row>
    <row r="230" spans="9:11">
      <c r="I230" s="112"/>
      <c r="J230" s="112"/>
      <c r="K230" s="112"/>
    </row>
    <row r="231" spans="9:11">
      <c r="I231" s="112"/>
      <c r="J231" s="112"/>
      <c r="K231" s="112"/>
    </row>
    <row r="232" spans="9:11">
      <c r="I232" s="112"/>
      <c r="J232" s="112"/>
      <c r="K232" s="112"/>
    </row>
    <row r="233" spans="9:11">
      <c r="I233" s="112"/>
      <c r="J233" s="112"/>
      <c r="K233" s="112"/>
    </row>
    <row r="234" spans="9:11">
      <c r="I234" s="112"/>
      <c r="J234" s="112"/>
      <c r="K234" s="112"/>
    </row>
    <row r="235" spans="9:11">
      <c r="I235" s="112"/>
      <c r="J235" s="112"/>
      <c r="K235" s="112"/>
    </row>
    <row r="236" spans="9:11">
      <c r="I236" s="112"/>
      <c r="J236" s="112"/>
      <c r="K236" s="112"/>
    </row>
    <row r="237" spans="9:11">
      <c r="I237" s="112"/>
      <c r="J237" s="112"/>
      <c r="K237" s="112"/>
    </row>
    <row r="238" spans="9:11">
      <c r="I238" s="112"/>
      <c r="J238" s="112"/>
      <c r="K238" s="112"/>
    </row>
    <row r="239" spans="9:11">
      <c r="I239" s="112"/>
      <c r="J239" s="112"/>
      <c r="K239" s="112"/>
    </row>
    <row r="240" spans="9:11">
      <c r="I240" s="112"/>
      <c r="J240" s="112"/>
      <c r="K240" s="112"/>
    </row>
    <row r="241" spans="9:11">
      <c r="I241" s="112"/>
      <c r="J241" s="112"/>
      <c r="K241" s="112"/>
    </row>
    <row r="242" spans="9:11">
      <c r="I242" s="112"/>
      <c r="J242" s="112"/>
      <c r="K242" s="112"/>
    </row>
    <row r="243" spans="9:11">
      <c r="I243" s="112"/>
      <c r="J243" s="112"/>
      <c r="K243" s="112"/>
    </row>
    <row r="244" spans="9:11">
      <c r="I244" s="112"/>
      <c r="J244" s="112"/>
      <c r="K244" s="112"/>
    </row>
    <row r="245" spans="9:11">
      <c r="I245" s="112"/>
      <c r="J245" s="112"/>
      <c r="K245" s="112"/>
    </row>
    <row r="246" spans="9:11">
      <c r="I246" s="112"/>
      <c r="J246" s="112"/>
      <c r="K246" s="112"/>
    </row>
  </sheetData>
  <conditionalFormatting sqref="H20:H84">
    <cfRule type="cellIs" dxfId="65" priority="106" operator="greaterThan">
      <formula>5</formula>
    </cfRule>
  </conditionalFormatting>
  <conditionalFormatting sqref="H91:H99">
    <cfRule type="cellIs" dxfId="64" priority="116" operator="greaterThan">
      <formula>5</formula>
    </cfRule>
  </conditionalFormatting>
  <conditionalFormatting sqref="H104:H111">
    <cfRule type="cellIs" dxfId="63" priority="108" operator="greaterThan">
      <formula>5</formula>
    </cfRule>
  </conditionalFormatting>
  <conditionalFormatting sqref="O7:O10">
    <cfRule type="cellIs" dxfId="62" priority="91" operator="between">
      <formula>0</formula>
      <formula>-0.2</formula>
    </cfRule>
    <cfRule type="cellIs" dxfId="61" priority="92" operator="lessThan">
      <formula>-0.2</formula>
    </cfRule>
    <cfRule type="cellIs" dxfId="60" priority="93" operator="greaterThan">
      <formula>0</formula>
    </cfRule>
  </conditionalFormatting>
  <conditionalFormatting sqref="O12">
    <cfRule type="cellIs" dxfId="59" priority="97" operator="between">
      <formula>0</formula>
      <formula>-0.2</formula>
    </cfRule>
    <cfRule type="cellIs" dxfId="58" priority="98" operator="lessThan">
      <formula>-0.2</formula>
    </cfRule>
    <cfRule type="cellIs" dxfId="57" priority="99" operator="greaterThan">
      <formula>0</formula>
    </cfRule>
  </conditionalFormatting>
  <conditionalFormatting sqref="O14">
    <cfRule type="cellIs" dxfId="56" priority="90" operator="greaterThan">
      <formula>0</formula>
    </cfRule>
    <cfRule type="cellIs" dxfId="55" priority="89" operator="lessThan">
      <formula>-0.2</formula>
    </cfRule>
    <cfRule type="cellIs" dxfId="54" priority="88" operator="between">
      <formula>0</formula>
      <formula>-0.2</formula>
    </cfRule>
  </conditionalFormatting>
  <conditionalFormatting sqref="Q19:Q23">
    <cfRule type="cellIs" dxfId="53" priority="26" operator="lessThan">
      <formula>-0.2</formula>
    </cfRule>
    <cfRule type="cellIs" dxfId="52" priority="27" operator="greaterThan">
      <formula>0</formula>
    </cfRule>
    <cfRule type="cellIs" dxfId="51" priority="25" operator="between">
      <formula>0</formula>
      <formula>-0.2</formula>
    </cfRule>
  </conditionalFormatting>
  <conditionalFormatting sqref="Q25">
    <cfRule type="cellIs" dxfId="50" priority="22" operator="between">
      <formula>0</formula>
      <formula>-0.2</formula>
    </cfRule>
    <cfRule type="cellIs" dxfId="49" priority="23" operator="lessThan">
      <formula>-0.2</formula>
    </cfRule>
    <cfRule type="cellIs" dxfId="48" priority="24" operator="greaterThan">
      <formula>0</formula>
    </cfRule>
  </conditionalFormatting>
  <conditionalFormatting sqref="Q27">
    <cfRule type="cellIs" dxfId="47" priority="19" operator="between">
      <formula>0</formula>
      <formula>-0.2</formula>
    </cfRule>
    <cfRule type="cellIs" dxfId="46" priority="20" operator="lessThan">
      <formula>-0.2</formula>
    </cfRule>
    <cfRule type="cellIs" dxfId="45" priority="21" operator="greaterThan">
      <formula>0</formula>
    </cfRule>
  </conditionalFormatting>
  <conditionalFormatting sqref="U6:U9">
    <cfRule type="cellIs" dxfId="44" priority="68" operator="lessThan">
      <formula>-0.2</formula>
    </cfRule>
    <cfRule type="cellIs" dxfId="43" priority="67" operator="between">
      <formula>0</formula>
      <formula>-0.2</formula>
    </cfRule>
    <cfRule type="cellIs" dxfId="42" priority="69" operator="greaterThan">
      <formula>0</formula>
    </cfRule>
  </conditionalFormatting>
  <conditionalFormatting sqref="U11">
    <cfRule type="cellIs" dxfId="41" priority="87" operator="greaterThan">
      <formula>0</formula>
    </cfRule>
    <cfRule type="cellIs" dxfId="40" priority="86" operator="lessThan">
      <formula>-0.2</formula>
    </cfRule>
    <cfRule type="cellIs" dxfId="39" priority="85" operator="between">
      <formula>0</formula>
      <formula>-0.2</formula>
    </cfRule>
  </conditionalFormatting>
  <conditionalFormatting sqref="U13">
    <cfRule type="cellIs" dxfId="38" priority="82" operator="between">
      <formula>0</formula>
      <formula>-0.2</formula>
    </cfRule>
    <cfRule type="cellIs" dxfId="37" priority="83" operator="lessThan">
      <formula>-0.2</formula>
    </cfRule>
    <cfRule type="cellIs" dxfId="36" priority="84" operator="greaterThan">
      <formula>0</formula>
    </cfRule>
  </conditionalFormatting>
  <conditionalFormatting sqref="AA6:AA9">
    <cfRule type="cellIs" dxfId="35" priority="77" operator="lessThan">
      <formula>-0.2</formula>
    </cfRule>
    <cfRule type="cellIs" dxfId="34" priority="76" operator="between">
      <formula>0</formula>
      <formula>-0.2</formula>
    </cfRule>
    <cfRule type="cellIs" dxfId="33" priority="78" operator="greaterThan">
      <formula>0</formula>
    </cfRule>
  </conditionalFormatting>
  <conditionalFormatting sqref="AA11">
    <cfRule type="cellIs" dxfId="32" priority="75" operator="greaterThan">
      <formula>0</formula>
    </cfRule>
    <cfRule type="cellIs" dxfId="31" priority="74" operator="lessThan">
      <formula>-0.2</formula>
    </cfRule>
    <cfRule type="cellIs" dxfId="30" priority="73" operator="between">
      <formula>0</formula>
      <formula>-0.2</formula>
    </cfRule>
  </conditionalFormatting>
  <conditionalFormatting sqref="AA13">
    <cfRule type="cellIs" dxfId="29" priority="72" operator="greaterThan">
      <formula>0</formula>
    </cfRule>
    <cfRule type="cellIs" dxfId="28" priority="71" operator="lessThan">
      <formula>-0.2</formula>
    </cfRule>
    <cfRule type="cellIs" dxfId="27" priority="70" operator="between">
      <formula>0</formula>
      <formula>-0.2</formula>
    </cfRule>
  </conditionalFormatting>
  <conditionalFormatting sqref="AC19:AC23">
    <cfRule type="cellIs" dxfId="26" priority="44" operator="lessThan">
      <formula>-0.2</formula>
    </cfRule>
    <cfRule type="cellIs" dxfId="25" priority="43" operator="between">
      <formula>0</formula>
      <formula>-0.2</formula>
    </cfRule>
    <cfRule type="cellIs" dxfId="24" priority="45" operator="greaterThan">
      <formula>0</formula>
    </cfRule>
  </conditionalFormatting>
  <conditionalFormatting sqref="AC25">
    <cfRule type="cellIs" dxfId="23" priority="42" operator="greaterThan">
      <formula>0</formula>
    </cfRule>
    <cfRule type="cellIs" dxfId="22" priority="41" operator="lessThan">
      <formula>-0.2</formula>
    </cfRule>
    <cfRule type="cellIs" dxfId="21" priority="40" operator="between">
      <formula>0</formula>
      <formula>-0.2</formula>
    </cfRule>
  </conditionalFormatting>
  <conditionalFormatting sqref="AC27">
    <cfRule type="cellIs" dxfId="20" priority="39" operator="greaterThan">
      <formula>0</formula>
    </cfRule>
    <cfRule type="cellIs" dxfId="19" priority="38" operator="lessThan">
      <formula>-0.2</formula>
    </cfRule>
    <cfRule type="cellIs" dxfId="18" priority="37" operator="between">
      <formula>0</formula>
      <formula>-0.2</formula>
    </cfRule>
  </conditionalFormatting>
  <conditionalFormatting sqref="AE6:AE9">
    <cfRule type="cellIs" dxfId="17" priority="62" operator="lessThan">
      <formula>-0.2</formula>
    </cfRule>
    <cfRule type="cellIs" dxfId="16" priority="63" operator="greaterThan">
      <formula>0</formula>
    </cfRule>
    <cfRule type="cellIs" dxfId="15" priority="61" operator="between">
      <formula>0</formula>
      <formula>-0.2</formula>
    </cfRule>
  </conditionalFormatting>
  <conditionalFormatting sqref="AE11">
    <cfRule type="cellIs" dxfId="14" priority="60" operator="greaterThan">
      <formula>0</formula>
    </cfRule>
    <cfRule type="cellIs" dxfId="13" priority="59" operator="lessThan">
      <formula>-0.2</formula>
    </cfRule>
    <cfRule type="cellIs" dxfId="12" priority="58" operator="between">
      <formula>0</formula>
      <formula>-0.2</formula>
    </cfRule>
  </conditionalFormatting>
  <conditionalFormatting sqref="AE13">
    <cfRule type="cellIs" dxfId="11" priority="55" operator="between">
      <formula>0</formula>
      <formula>-0.2</formula>
    </cfRule>
    <cfRule type="cellIs" dxfId="10" priority="57" operator="greaterThan">
      <formula>0</formula>
    </cfRule>
    <cfRule type="cellIs" dxfId="9" priority="56" operator="lessThan">
      <formula>-0.2</formula>
    </cfRule>
  </conditionalFormatting>
  <conditionalFormatting sqref="AI19:AI23">
    <cfRule type="cellIs" dxfId="8" priority="8" operator="lessThan">
      <formula>-0.2</formula>
    </cfRule>
    <cfRule type="cellIs" dxfId="7" priority="7" operator="between">
      <formula>0</formula>
      <formula>-0.2</formula>
    </cfRule>
    <cfRule type="cellIs" dxfId="6" priority="9" operator="greaterThan">
      <formula>0</formula>
    </cfRule>
  </conditionalFormatting>
  <conditionalFormatting sqref="AI25">
    <cfRule type="cellIs" dxfId="5" priority="6" operator="greaterThan">
      <formula>0</formula>
    </cfRule>
    <cfRule type="cellIs" dxfId="4" priority="5" operator="lessThan">
      <formula>-0.2</formula>
    </cfRule>
    <cfRule type="cellIs" dxfId="3" priority="4" operator="between">
      <formula>0</formula>
      <formula>-0.2</formula>
    </cfRule>
  </conditionalFormatting>
  <conditionalFormatting sqref="AI27">
    <cfRule type="cellIs" dxfId="2" priority="1" operator="between">
      <formula>0</formula>
      <formula>-0.2</formula>
    </cfRule>
    <cfRule type="cellIs" dxfId="1" priority="3" operator="greaterThan">
      <formula>0</formula>
    </cfRule>
    <cfRule type="cellIs" dxfId="0" priority="2" operator="lessThan">
      <formula>-0.2</formula>
    </cfRule>
  </conditionalFormatting>
  <dataValidations count="1">
    <dataValidation type="list" allowBlank="1" showInputMessage="1" showErrorMessage="1" sqref="D8" xr:uid="{5BB469EB-CED0-488C-9600-7A0B3C473E31}">
      <formula1>#REF!</formula1>
    </dataValidation>
  </dataValidations>
  <printOptions horizontalCentered="1"/>
  <pageMargins left="0" right="0" top="0" bottom="0" header="0" footer="0"/>
  <pageSetup paperSize="9" scale="57" fitToHeight="3" orientation="landscape" r:id="rId1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 vs estimado Mes y Acum</vt:lpstr>
      <vt:lpstr>'PA vs estimado Mes y Acum'!Área_de_impresión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Cohen</dc:creator>
  <cp:lastModifiedBy>Yanina Cohen</cp:lastModifiedBy>
  <dcterms:created xsi:type="dcterms:W3CDTF">2024-09-19T17:41:01Z</dcterms:created>
  <dcterms:modified xsi:type="dcterms:W3CDTF">2024-09-20T02:43:40Z</dcterms:modified>
</cp:coreProperties>
</file>